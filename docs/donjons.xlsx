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<sst xmlns="http://schemas.openxmlformats.org/spreadsheetml/2006/main" uniqueCount="132">
  <si>
    <t>Tableau 1</t>
  </si>
  <si>
    <t>NOM</t>
  </si>
  <si>
    <t>MULTI DIFFICULTE</t>
  </si>
  <si>
    <t>ETAGES</t>
  </si>
  <si>
    <t>PARCOURS</t>
  </si>
  <si>
    <t>MONSTRES</t>
  </si>
  <si>
    <t>BOSS</t>
  </si>
  <si>
    <t>RANG LOOT POSSIBLE</t>
  </si>
  <si>
    <t>RARETE LOOT POSSIBLE</t>
  </si>
  <si>
    <t>NB LOOT SI VICTOIRE</t>
  </si>
  <si>
    <t>OR SI VICTOIRE</t>
  </si>
  <si>
    <t>EXP BONUS SI VICTOIRE</t>
  </si>
  <si>
    <t>BONUS DE 1ERE VICTOIRE</t>
  </si>
  <si>
    <t>NOTES</t>
  </si>
  <si>
    <t>VALLEE VENTEUSE</t>
  </si>
  <si>
    <t>6</t>
  </si>
  <si>
    <t>M1M1EM12M12B</t>
  </si>
  <si>
    <t>Loup, Vautour</t>
  </si>
  <si>
    <t>Loup Garou</t>
  </si>
  <si>
    <t>1</t>
  </si>
  <si>
    <t>100</t>
  </si>
  <si>
    <t>200 OR
100 EXP
2 PARCHEMINS
1 EQUIP</t>
  </si>
  <si>
    <t>SOMBRE FORET</t>
  </si>
  <si>
    <t>1,5</t>
  </si>
  <si>
    <t>7</t>
  </si>
  <si>
    <t>M1M1M12EM2M2B</t>
  </si>
  <si>
    <t>Sanglier, Chasseur</t>
  </si>
  <si>
    <t>Ours Noir (craint le feu, assez résistant aux dégâts phy)</t>
  </si>
  <si>
    <t>90,10</t>
  </si>
  <si>
    <t>300 OR
120 EXP
2 PARCHEMINS
1 EQUIP</t>
  </si>
  <si>
    <t>MER SOUTERRAINE</t>
  </si>
  <si>
    <t>2,1</t>
  </si>
  <si>
    <t>8</t>
  </si>
  <si>
    <t>M12M21M21EM2M2M2B</t>
  </si>
  <si>
    <t>Slime bleu, Crabe géant</t>
  </si>
  <si>
    <t>Kraken (craint la foudre, attaques magie d’eau puissante)</t>
  </si>
  <si>
    <t>1-2</t>
  </si>
  <si>
    <t>80,20</t>
  </si>
  <si>
    <t>420OR
180 EXP
2 PARCHEMINS
2 EQUIP</t>
  </si>
  <si>
    <t>DESERT ARIDE</t>
  </si>
  <si>
    <t>3</t>
  </si>
  <si>
    <t>10</t>
  </si>
  <si>
    <t>M2M2M23M23EM23M3M3M3EB</t>
  </si>
  <si>
    <t>Guerrier saurien, scorpion, Cactuaire</t>
  </si>
  <si>
    <t>Ver des sables (beaucoup d’EVA, craint l’eau)</t>
  </si>
  <si>
    <t>70,30</t>
  </si>
  <si>
    <t>600 OR
250 EXP
3 PARCHEMINS
2 EQUIP</t>
  </si>
  <si>
    <t>TEMPLE ABANDONNE</t>
  </si>
  <si>
    <t>4</t>
  </si>
  <si>
    <t>12</t>
  </si>
  <si>
    <t>M12M12M12EM2M2M2EM2M23M23B</t>
  </si>
  <si>
    <t>Slime jaune, mage noir, esprit farouche</t>
  </si>
  <si>
    <t>Banshee (très sensible à la magie sacré, assez résistante à tout le reste)</t>
  </si>
  <si>
    <t>2</t>
  </si>
  <si>
    <t>60,35,5</t>
  </si>
  <si>
    <t>800 OR
360 EXP
10 PARCHEMINS
3 EQUIP
10 TOME D’EXP *</t>
  </si>
  <si>
    <t>CITE MAUDITE</t>
  </si>
  <si>
    <t>5,5</t>
  </si>
  <si>
    <t>14</t>
  </si>
  <si>
    <t>M1M1M1EM12M12M12EM2M2M2M2EB</t>
  </si>
  <si>
    <t>Coupe-jarret, soldat corrompu, Homme-serpent</t>
  </si>
  <si>
    <t>Chef de la pègre (3 boss : un mage, un tank, un assassin)</t>
  </si>
  <si>
    <t>55,38,7</t>
  </si>
  <si>
    <t>1100 OR
450 EXP
4 PARCHEMINS
3 EQUIP</t>
  </si>
  <si>
    <t>PALAIS DU ROI DECHU</t>
  </si>
  <si>
    <t>17</t>
  </si>
  <si>
    <t>M12M12M12M12M12EM2M2M2M2M2EM23M23M23M23B</t>
  </si>
  <si>
    <t>Garde royal, statue animée, assassin</t>
  </si>
  <si>
    <t>Héritier pestiféré (éthéré, très résistants aux dégâts physiques)</t>
  </si>
  <si>
    <t>2-3</t>
  </si>
  <si>
    <t>53,39,8</t>
  </si>
  <si>
    <t>1600 OR
660 EXP
4 PARCHEMINS
3 EQUIP</t>
  </si>
  <si>
    <t>CATACOMBES ROYALES</t>
  </si>
  <si>
    <t>20</t>
  </si>
  <si>
    <t>M1M1M1M1M1M12M12M12M12M12M23M23M23M23M23M3M3M3M3B</t>
  </si>
  <si>
    <t>Squelette, zombie, slime noir</t>
  </si>
  <si>
    <t>Nécromancien (arrive avec 4 squelettes), craint le sacré, insensible au ténèbres et plutôt résistants à la magie</t>
  </si>
  <si>
    <t>50,40,10</t>
  </si>
  <si>
    <t>1000 OR
840 EXP
4 PARCHEMINS
4 EQUIP</t>
  </si>
  <si>
    <t>COULOIRS INFERNAUX</t>
  </si>
  <si>
    <t>25</t>
  </si>
  <si>
    <t>M2M2M2M2M2EM23M23M23M23M23M23EM3M3M3M3M3M3EM34M34M34M34B</t>
  </si>
  <si>
    <t>Slime rouge, démon inférieur, armure possédée, diablotin</t>
  </si>
  <si>
    <t>Phobos et Deimos (2 démons jumeaux, 1 immune magie + eau foudre, l’autre immune physique + terre feu)</t>
  </si>
  <si>
    <t>47,42,11</t>
  </si>
  <si>
    <t>2400 OR
1000 EXP
5 PARCHEMINS
4 EQUIP</t>
  </si>
  <si>
    <t>FORTERESSE DU SEIGNEUR DES ENFERS</t>
  </si>
  <si>
    <t>15</t>
  </si>
  <si>
    <t>30</t>
  </si>
  <si>
    <t>M1M1M1M1M1EM2M2M2M2M2EM23M23M23M23M23EM3M3M3M3M3M3EM34M34M34M34B</t>
  </si>
  <si>
    <t>Démon supérieur, chien infernal, mage noir, slime chromatique</t>
  </si>
  <si>
    <t>Myhrra, démon ultime (très résistant à tout, attaques de feu physique très puissantes, haut CRT)</t>
  </si>
  <si>
    <t>45,40,15</t>
  </si>
  <si>
    <t>3000 OR
1500 EX
10 PARCHEMINS
5 EQUIP
10 TOME D’EXP **</t>
  </si>
  <si>
    <t>3-4</t>
  </si>
  <si>
    <t>35</t>
  </si>
  <si>
    <t>CAVERNE HUMIDE</t>
  </si>
  <si>
    <t>41</t>
  </si>
  <si>
    <t>48</t>
  </si>
  <si>
    <t>56</t>
  </si>
  <si>
    <t>4-5</t>
  </si>
  <si>
    <t>64</t>
  </si>
  <si>
    <t>72</t>
  </si>
  <si>
    <t>5</t>
  </si>
  <si>
    <t>81</t>
  </si>
  <si>
    <t>40,40,20</t>
  </si>
  <si>
    <t>90</t>
  </si>
  <si>
    <t>5-6</t>
  </si>
  <si>
    <t>39,39,22</t>
  </si>
  <si>
    <t>37,38,25</t>
  </si>
  <si>
    <t>200</t>
  </si>
  <si>
    <t>230</t>
  </si>
  <si>
    <t>260</t>
  </si>
  <si>
    <t>6-7</t>
  </si>
  <si>
    <t>300</t>
  </si>
  <si>
    <t>350</t>
  </si>
  <si>
    <t>400</t>
  </si>
  <si>
    <t>450</t>
  </si>
  <si>
    <t>7-8</t>
  </si>
  <si>
    <t>500</t>
  </si>
  <si>
    <t>34,35,29,2</t>
  </si>
  <si>
    <t>550</t>
  </si>
  <si>
    <t>33,34,30,3</t>
  </si>
  <si>
    <t>600</t>
  </si>
  <si>
    <t>31,31,33,5</t>
  </si>
  <si>
    <t>PINNACLE DU MAL ABSOLU (niveau caché, apparait uniquement quand le 3-10 est vaincu)</t>
  </si>
  <si>
    <t>1000</t>
  </si>
  <si>
    <t>boss</t>
  </si>
  <si>
    <t>-</t>
  </si>
  <si>
    <t>« Oblivium, esprit du tout corrompu »attaques magiques sans élément extrêmement puissantes, arrive avec 4 pierres de lien : 1 immune physique, immune éléments sauf eau, 1 immune physique, immune éléments sauf foudre, 1 immune magie, immune éléments sauf terre, 1 immune magie, immune éléments sauf feu. Chaque pierre de lien vaincu réduit les résistances du boss de 10%</t>
  </si>
  <si>
    <t>1 légendaire rang 10 garanti</t>
  </si>
  <si>
    <t>Ne peut être fait qu’une fois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</si>
</sst>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10"/>
      <color indexed="14"/>
      <name val="Helvetica Neue"/>
    </font>
    <font>
      <b val="1"/>
      <sz val="10"/>
      <color indexed="16"/>
      <name val="Helvetica Neue"/>
    </font>
    <font>
      <b val="1"/>
      <sz val="10"/>
      <color indexed="17"/>
      <name val="Helvetica Neue"/>
    </font>
    <font>
      <b val="1"/>
      <sz val="10"/>
      <color indexed="1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4" fillId="4" borderId="5" applyNumberFormat="1" applyFont="1" applyFill="1" applyBorder="1" applyAlignment="1" applyProtection="0">
      <alignment vertical="top" wrapText="1"/>
    </xf>
    <xf numFmtId="1" fontId="0" fillId="2" borderId="6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horizontal="center" vertical="top" wrapText="1"/>
    </xf>
    <xf numFmtId="0" fontId="0" fillId="2" borderId="7" applyNumberFormat="1" applyFont="1" applyFill="1" applyBorder="1" applyAlignment="1" applyProtection="0">
      <alignment horizontal="center" vertical="top" wrapText="1"/>
    </xf>
    <xf numFmtId="49" fontId="4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horizontal="center" vertical="top" wrapText="1"/>
    </xf>
    <xf numFmtId="49" fontId="0" fillId="2" borderId="10" applyNumberFormat="1" applyFont="1" applyFill="1" applyBorder="1" applyAlignment="1" applyProtection="0">
      <alignment horizontal="center" vertical="top" wrapText="1"/>
    </xf>
    <xf numFmtId="0" fontId="0" fillId="2" borderId="10" applyNumberFormat="1" applyFont="1" applyFill="1" applyBorder="1" applyAlignment="1" applyProtection="0">
      <alignment horizontal="center" vertical="top" wrapText="1"/>
    </xf>
    <xf numFmtId="49" fontId="5" fillId="4" borderId="8" applyNumberFormat="1" applyFont="1" applyFill="1" applyBorder="1" applyAlignment="1" applyProtection="0">
      <alignment vertical="top" wrapText="1"/>
    </xf>
    <xf numFmtId="49" fontId="6" fillId="4" borderId="8" applyNumberFormat="1" applyFont="1" applyFill="1" applyBorder="1" applyAlignment="1" applyProtection="0">
      <alignment vertical="top" wrapText="1"/>
    </xf>
    <xf numFmtId="49" fontId="7" fillId="4" borderId="8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017000"/>
      <rgbColor rgb="ffdbdbdb"/>
      <rgbColor rgb="fff27100"/>
      <rgbColor rgb="ffb41700"/>
      <rgbColor rgb="ff960d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94"/>
  <sheetViews>
    <sheetView workbookViewId="0" showGridLines="0" defaultGridColor="1"/>
  </sheetViews>
  <sheetFormatPr defaultColWidth="16.3333" defaultRowHeight="19.9" customHeight="1" outlineLevelRow="0" outlineLevelCol="0"/>
  <cols>
    <col min="1" max="1" width="24.5" style="1" customWidth="1"/>
    <col min="2" max="2" width="11.3516" style="1" customWidth="1"/>
    <col min="3" max="3" width="8.17188" style="1" customWidth="1"/>
    <col min="4" max="4" width="27.6719" style="1" customWidth="1"/>
    <col min="5" max="5" width="25.3516" style="1" customWidth="1"/>
    <col min="6" max="6" width="37.8516" style="1" customWidth="1"/>
    <col min="7" max="7" width="12" style="1" customWidth="1"/>
    <col min="8" max="8" width="19.5" style="1" customWidth="1"/>
    <col min="9" max="9" width="11.6719" style="1" customWidth="1"/>
    <col min="10" max="10" width="10.3516" style="1" customWidth="1"/>
    <col min="11" max="11" width="12.3516" style="1" customWidth="1"/>
    <col min="12" max="12" width="28.3516" style="1" customWidth="1"/>
    <col min="13" max="13" width="35.6719" style="1" customWidth="1"/>
    <col min="14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32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</row>
    <row r="3" ht="57.85" customHeight="1">
      <c r="A3" t="s" s="6">
        <v>14</v>
      </c>
      <c r="B3" s="7">
        <v>1</v>
      </c>
      <c r="C3" t="s" s="8">
        <v>15</v>
      </c>
      <c r="D3" t="s" s="8">
        <v>16</v>
      </c>
      <c r="E3" t="s" s="8">
        <v>17</v>
      </c>
      <c r="F3" t="s" s="8">
        <v>18</v>
      </c>
      <c r="G3" t="s" s="8">
        <v>19</v>
      </c>
      <c r="H3" t="s" s="8">
        <v>20</v>
      </c>
      <c r="I3" t="s" s="8">
        <v>19</v>
      </c>
      <c r="J3" s="9" cm="1">
        <f t="array" ref="J3">100*B3</f>
        <v>100</v>
      </c>
      <c r="K3" s="9" cm="1">
        <f t="array" ref="K3">ROUND(40*(B3*0.7),0)</f>
        <v>28</v>
      </c>
      <c r="L3" t="s" s="8">
        <v>21</v>
      </c>
      <c r="M3" s="8"/>
    </row>
    <row r="4" ht="57.5" customHeight="1">
      <c r="A4" t="s" s="10">
        <v>22</v>
      </c>
      <c r="B4" t="s" s="11">
        <v>23</v>
      </c>
      <c r="C4" t="s" s="12">
        <v>24</v>
      </c>
      <c r="D4" t="s" s="12">
        <v>25</v>
      </c>
      <c r="E4" t="s" s="12">
        <v>26</v>
      </c>
      <c r="F4" t="s" s="12">
        <v>27</v>
      </c>
      <c r="G4" t="s" s="12">
        <v>19</v>
      </c>
      <c r="H4" t="s" s="12">
        <v>28</v>
      </c>
      <c r="I4" t="s" s="12">
        <v>19</v>
      </c>
      <c r="J4" s="13" cm="1">
        <f t="array" ref="J4">100*B4</f>
        <v>150</v>
      </c>
      <c r="K4" s="13" cm="1">
        <f t="array" ref="K4">ROUND(40*(B4*0.7),0)</f>
        <v>42</v>
      </c>
      <c r="L4" t="s" s="12">
        <v>29</v>
      </c>
      <c r="M4" s="12"/>
    </row>
    <row r="5" ht="57.5" customHeight="1">
      <c r="A5" t="s" s="10">
        <v>30</v>
      </c>
      <c r="B5" t="s" s="11">
        <v>31</v>
      </c>
      <c r="C5" t="s" s="12">
        <v>32</v>
      </c>
      <c r="D5" t="s" s="12">
        <v>33</v>
      </c>
      <c r="E5" t="s" s="12">
        <v>34</v>
      </c>
      <c r="F5" t="s" s="12">
        <v>35</v>
      </c>
      <c r="G5" t="s" s="12">
        <v>36</v>
      </c>
      <c r="H5" t="s" s="12">
        <v>37</v>
      </c>
      <c r="I5" t="s" s="12">
        <v>19</v>
      </c>
      <c r="J5" s="13" cm="1">
        <f t="array" ref="J5">100*B5</f>
        <v>210</v>
      </c>
      <c r="K5" s="13" cm="1">
        <f t="array" ref="K5">ROUND(40*(B5*0.7),0)</f>
        <v>59</v>
      </c>
      <c r="L5" t="s" s="12">
        <v>38</v>
      </c>
      <c r="M5" s="12"/>
    </row>
    <row r="6" ht="57.5" customHeight="1">
      <c r="A6" t="s" s="10">
        <v>39</v>
      </c>
      <c r="B6" t="s" s="11">
        <v>40</v>
      </c>
      <c r="C6" t="s" s="12">
        <v>41</v>
      </c>
      <c r="D6" t="s" s="12">
        <v>42</v>
      </c>
      <c r="E6" t="s" s="12">
        <v>43</v>
      </c>
      <c r="F6" t="s" s="12">
        <v>44</v>
      </c>
      <c r="G6" t="s" s="12">
        <v>36</v>
      </c>
      <c r="H6" t="s" s="12">
        <v>45</v>
      </c>
      <c r="I6" t="s" s="12">
        <v>19</v>
      </c>
      <c r="J6" s="13" cm="1">
        <f t="array" ref="J6">100*B6</f>
        <v>300</v>
      </c>
      <c r="K6" s="13" cm="1">
        <f t="array" ref="K6">ROUND(40*(B6*0.7),0)</f>
        <v>84</v>
      </c>
      <c r="L6" t="s" s="12">
        <v>46</v>
      </c>
      <c r="M6" s="12"/>
    </row>
    <row r="7" ht="57.5" customHeight="1">
      <c r="A7" t="s" s="10">
        <v>47</v>
      </c>
      <c r="B7" t="s" s="11">
        <v>48</v>
      </c>
      <c r="C7" t="s" s="12">
        <v>49</v>
      </c>
      <c r="D7" t="s" s="12">
        <v>50</v>
      </c>
      <c r="E7" t="s" s="12">
        <v>51</v>
      </c>
      <c r="F7" t="s" s="12">
        <v>52</v>
      </c>
      <c r="G7" t="s" s="12">
        <v>53</v>
      </c>
      <c r="H7" t="s" s="12">
        <v>54</v>
      </c>
      <c r="I7" t="s" s="12">
        <v>53</v>
      </c>
      <c r="J7" s="13" cm="1">
        <f t="array" ref="J7">100*B7</f>
        <v>400</v>
      </c>
      <c r="K7" s="13" cm="1">
        <f t="array" ref="K7">ROUND(40*(B7*0.7),0)</f>
        <v>112</v>
      </c>
      <c r="L7" t="s" s="12">
        <v>55</v>
      </c>
      <c r="M7" s="12"/>
    </row>
    <row r="8" ht="57.5" customHeight="1">
      <c r="A8" t="s" s="10">
        <v>56</v>
      </c>
      <c r="B8" t="s" s="11">
        <v>57</v>
      </c>
      <c r="C8" t="s" s="12">
        <v>58</v>
      </c>
      <c r="D8" t="s" s="12">
        <v>59</v>
      </c>
      <c r="E8" t="s" s="12">
        <v>60</v>
      </c>
      <c r="F8" t="s" s="12">
        <v>61</v>
      </c>
      <c r="G8" t="s" s="12">
        <v>53</v>
      </c>
      <c r="H8" t="s" s="12">
        <v>62</v>
      </c>
      <c r="I8" t="s" s="12">
        <v>53</v>
      </c>
      <c r="J8" s="13" cm="1">
        <f t="array" ref="J8">100*B8</f>
        <v>550</v>
      </c>
      <c r="K8" s="13" cm="1">
        <f t="array" ref="K8">ROUND(40*(B8*0.7),0)</f>
        <v>154</v>
      </c>
      <c r="L8" t="s" s="12">
        <v>63</v>
      </c>
      <c r="M8" s="12"/>
    </row>
    <row r="9" ht="57.5" customHeight="1">
      <c r="A9" t="s" s="10">
        <v>64</v>
      </c>
      <c r="B9" t="s" s="11">
        <v>32</v>
      </c>
      <c r="C9" t="s" s="12">
        <v>65</v>
      </c>
      <c r="D9" t="s" s="12">
        <v>66</v>
      </c>
      <c r="E9" t="s" s="12">
        <v>67</v>
      </c>
      <c r="F9" t="s" s="12">
        <v>68</v>
      </c>
      <c r="G9" t="s" s="12">
        <v>69</v>
      </c>
      <c r="H9" t="s" s="12">
        <v>70</v>
      </c>
      <c r="I9" t="s" s="12">
        <v>53</v>
      </c>
      <c r="J9" s="13" cm="1">
        <f t="array" ref="J9">100*B9</f>
        <v>800</v>
      </c>
      <c r="K9" s="13" cm="1">
        <f t="array" ref="K9">ROUND(40*(B9*0.7),0)</f>
        <v>224</v>
      </c>
      <c r="L9" t="s" s="12">
        <v>71</v>
      </c>
      <c r="M9" s="12"/>
    </row>
    <row r="10" ht="79" customHeight="1">
      <c r="A10" t="s" s="10">
        <v>72</v>
      </c>
      <c r="B10" t="s" s="11">
        <v>41</v>
      </c>
      <c r="C10" t="s" s="12">
        <v>73</v>
      </c>
      <c r="D10" t="s" s="12">
        <v>74</v>
      </c>
      <c r="E10" t="s" s="12">
        <v>75</v>
      </c>
      <c r="F10" t="s" s="12">
        <v>76</v>
      </c>
      <c r="G10" t="s" s="12">
        <v>69</v>
      </c>
      <c r="H10" t="s" s="12">
        <v>77</v>
      </c>
      <c r="I10" t="s" s="12">
        <v>40</v>
      </c>
      <c r="J10" s="13" cm="1">
        <f t="array" ref="J10">100*B10</f>
        <v>1000</v>
      </c>
      <c r="K10" s="13" cm="1">
        <f t="array" ref="K10">ROUND(40*(B10*0.7),0)</f>
        <v>280</v>
      </c>
      <c r="L10" t="s" s="12">
        <v>78</v>
      </c>
      <c r="M10" s="12"/>
    </row>
    <row r="11" ht="100.8" customHeight="1">
      <c r="A11" t="s" s="10">
        <v>79</v>
      </c>
      <c r="B11" t="s" s="11">
        <v>49</v>
      </c>
      <c r="C11" t="s" s="12">
        <v>80</v>
      </c>
      <c r="D11" t="s" s="12">
        <v>81</v>
      </c>
      <c r="E11" t="s" s="12">
        <v>82</v>
      </c>
      <c r="F11" t="s" s="12">
        <v>83</v>
      </c>
      <c r="G11" t="s" s="12">
        <v>40</v>
      </c>
      <c r="H11" t="s" s="12">
        <v>84</v>
      </c>
      <c r="I11" t="s" s="12">
        <v>40</v>
      </c>
      <c r="J11" s="13" cm="1">
        <f t="array" ref="J11">100*B11</f>
        <v>1200</v>
      </c>
      <c r="K11" s="13" cm="1">
        <f t="array" ref="K11">ROUND(40*(B11*0.7),0)</f>
        <v>336</v>
      </c>
      <c r="L11" t="s" s="12">
        <v>85</v>
      </c>
      <c r="M11" s="12"/>
    </row>
    <row r="12" ht="100.2" customHeight="1">
      <c r="A12" t="s" s="10">
        <v>86</v>
      </c>
      <c r="B12" t="s" s="11">
        <v>87</v>
      </c>
      <c r="C12" t="s" s="12">
        <v>88</v>
      </c>
      <c r="D12" t="s" s="12">
        <v>89</v>
      </c>
      <c r="E12" t="s" s="12">
        <v>90</v>
      </c>
      <c r="F12" t="s" s="12">
        <v>91</v>
      </c>
      <c r="G12" t="s" s="12">
        <v>40</v>
      </c>
      <c r="H12" t="s" s="12">
        <v>92</v>
      </c>
      <c r="I12" t="s" s="12">
        <v>48</v>
      </c>
      <c r="J12" s="13" cm="1">
        <f t="array" ref="J12">100*B12</f>
        <v>1500</v>
      </c>
      <c r="K12" s="13" cm="1">
        <f t="array" ref="K12">ROUND(40*(B12*0.7),0)</f>
        <v>420</v>
      </c>
      <c r="L12" t="s" s="12">
        <v>93</v>
      </c>
      <c r="M12" s="12"/>
    </row>
    <row r="13" ht="57.5" customHeight="1">
      <c r="A13" t="s" s="14">
        <v>14</v>
      </c>
      <c r="B13" t="s" s="11">
        <v>88</v>
      </c>
      <c r="C13" t="s" s="12">
        <v>15</v>
      </c>
      <c r="D13" t="s" s="12">
        <v>16</v>
      </c>
      <c r="E13" t="s" s="12">
        <v>17</v>
      </c>
      <c r="F13" t="s" s="12">
        <v>18</v>
      </c>
      <c r="G13" t="s" s="12">
        <v>94</v>
      </c>
      <c r="H13" t="s" s="12">
        <v>45</v>
      </c>
      <c r="I13" t="s" s="12">
        <v>19</v>
      </c>
      <c r="J13" s="13" cm="1">
        <f t="array" ref="J13">100*B13</f>
        <v>3000</v>
      </c>
      <c r="K13" s="13" cm="1">
        <f t="array" ref="K13">ROUND(40*(B13*0.5),0)</f>
        <v>600</v>
      </c>
      <c r="L13" s="12"/>
      <c r="M13" s="12"/>
    </row>
    <row r="14" ht="57.5" customHeight="1">
      <c r="A14" t="s" s="14">
        <v>22</v>
      </c>
      <c r="B14" t="s" s="11">
        <v>95</v>
      </c>
      <c r="C14" t="s" s="12">
        <v>24</v>
      </c>
      <c r="D14" t="s" s="12">
        <v>25</v>
      </c>
      <c r="E14" t="s" s="12">
        <v>26</v>
      </c>
      <c r="F14" t="s" s="12">
        <v>27</v>
      </c>
      <c r="G14" t="s" s="12">
        <v>94</v>
      </c>
      <c r="H14" t="s" s="12">
        <v>54</v>
      </c>
      <c r="I14" t="s" s="12">
        <v>19</v>
      </c>
      <c r="J14" s="13" cm="1">
        <f t="array" ref="J14">100*B14</f>
        <v>3500</v>
      </c>
      <c r="K14" s="13" cm="1">
        <f t="array" ref="K14">ROUND(40*(B14*0.5),0)</f>
        <v>700</v>
      </c>
      <c r="L14" s="12"/>
      <c r="M14" s="12"/>
    </row>
    <row r="15" ht="57.5" customHeight="1">
      <c r="A15" t="s" s="14">
        <v>96</v>
      </c>
      <c r="B15" t="s" s="11">
        <v>97</v>
      </c>
      <c r="C15" t="s" s="12">
        <v>32</v>
      </c>
      <c r="D15" t="s" s="12">
        <v>33</v>
      </c>
      <c r="E15" t="s" s="12">
        <v>34</v>
      </c>
      <c r="F15" t="s" s="12">
        <v>35</v>
      </c>
      <c r="G15" t="s" s="12">
        <v>48</v>
      </c>
      <c r="H15" t="s" s="12">
        <v>62</v>
      </c>
      <c r="I15" t="s" s="12">
        <v>19</v>
      </c>
      <c r="J15" s="13" cm="1">
        <f t="array" ref="J15">100*B15</f>
        <v>4100</v>
      </c>
      <c r="K15" s="13" cm="1">
        <f t="array" ref="K15">ROUND(40*(B15*0.5),0)</f>
        <v>820</v>
      </c>
      <c r="L15" s="12"/>
      <c r="M15" s="12"/>
    </row>
    <row r="16" ht="57.5" customHeight="1">
      <c r="A16" t="s" s="14">
        <v>39</v>
      </c>
      <c r="B16" t="s" s="11">
        <v>98</v>
      </c>
      <c r="C16" t="s" s="12">
        <v>41</v>
      </c>
      <c r="D16" t="s" s="12">
        <v>42</v>
      </c>
      <c r="E16" t="s" s="12">
        <v>43</v>
      </c>
      <c r="F16" t="s" s="12">
        <v>44</v>
      </c>
      <c r="G16" t="s" s="12">
        <v>48</v>
      </c>
      <c r="H16" t="s" s="12">
        <v>70</v>
      </c>
      <c r="I16" t="s" s="12">
        <v>19</v>
      </c>
      <c r="J16" s="13" cm="1">
        <f t="array" ref="J16">100*B16</f>
        <v>4800</v>
      </c>
      <c r="K16" s="13" cm="1">
        <f t="array" ref="K16">ROUND(40*(B16*0.5),0)</f>
        <v>960</v>
      </c>
      <c r="L16" s="12"/>
      <c r="M16" s="12"/>
    </row>
    <row r="17" ht="57.5" customHeight="1">
      <c r="A17" t="s" s="14">
        <v>47</v>
      </c>
      <c r="B17" t="s" s="11">
        <v>99</v>
      </c>
      <c r="C17" t="s" s="12">
        <v>49</v>
      </c>
      <c r="D17" t="s" s="12">
        <v>50</v>
      </c>
      <c r="E17" t="s" s="12">
        <v>51</v>
      </c>
      <c r="F17" t="s" s="12">
        <v>52</v>
      </c>
      <c r="G17" t="s" s="12">
        <v>100</v>
      </c>
      <c r="H17" t="s" s="12">
        <v>77</v>
      </c>
      <c r="I17" t="s" s="12">
        <v>53</v>
      </c>
      <c r="J17" s="13" cm="1">
        <f t="array" ref="J17">100*B17</f>
        <v>5600</v>
      </c>
      <c r="K17" s="13" cm="1">
        <f t="array" ref="K17">ROUND(40*(B17*0.5),0)</f>
        <v>1120</v>
      </c>
      <c r="L17" s="12"/>
      <c r="M17" s="12"/>
    </row>
    <row r="18" ht="57.5" customHeight="1">
      <c r="A18" t="s" s="14">
        <v>56</v>
      </c>
      <c r="B18" t="s" s="11">
        <v>101</v>
      </c>
      <c r="C18" t="s" s="12">
        <v>58</v>
      </c>
      <c r="D18" t="s" s="12">
        <v>59</v>
      </c>
      <c r="E18" t="s" s="12">
        <v>60</v>
      </c>
      <c r="F18" t="s" s="12">
        <v>61</v>
      </c>
      <c r="G18" t="s" s="12">
        <v>100</v>
      </c>
      <c r="H18" t="s" s="12">
        <v>84</v>
      </c>
      <c r="I18" t="s" s="12">
        <v>53</v>
      </c>
      <c r="J18" s="13" cm="1">
        <f t="array" ref="J18">100*B18</f>
        <v>6400</v>
      </c>
      <c r="K18" s="13" cm="1">
        <f t="array" ref="K18">ROUND(40*(B18*0.5),0)</f>
        <v>1280</v>
      </c>
      <c r="L18" s="12"/>
      <c r="M18" s="12"/>
    </row>
    <row r="19" ht="57.5" customHeight="1">
      <c r="A19" t="s" s="14">
        <v>64</v>
      </c>
      <c r="B19" t="s" s="11">
        <v>102</v>
      </c>
      <c r="C19" t="s" s="12">
        <v>65</v>
      </c>
      <c r="D19" t="s" s="12">
        <v>66</v>
      </c>
      <c r="E19" t="s" s="12">
        <v>67</v>
      </c>
      <c r="F19" t="s" s="12">
        <v>68</v>
      </c>
      <c r="G19" t="s" s="12">
        <v>103</v>
      </c>
      <c r="H19" t="s" s="12">
        <v>92</v>
      </c>
      <c r="I19" t="s" s="12">
        <v>53</v>
      </c>
      <c r="J19" s="13" cm="1">
        <f t="array" ref="J19">100*B19</f>
        <v>7200</v>
      </c>
      <c r="K19" s="13" cm="1">
        <f t="array" ref="K19">ROUND(40*(B19*0.5),0)</f>
        <v>1440</v>
      </c>
      <c r="L19" s="12"/>
      <c r="M19" s="12"/>
    </row>
    <row r="20" ht="79" customHeight="1">
      <c r="A20" t="s" s="14">
        <v>72</v>
      </c>
      <c r="B20" t="s" s="11">
        <v>104</v>
      </c>
      <c r="C20" t="s" s="12">
        <v>73</v>
      </c>
      <c r="D20" t="s" s="12">
        <v>74</v>
      </c>
      <c r="E20" t="s" s="12">
        <v>75</v>
      </c>
      <c r="F20" t="s" s="12">
        <v>76</v>
      </c>
      <c r="G20" t="s" s="12">
        <v>103</v>
      </c>
      <c r="H20" t="s" s="12">
        <v>105</v>
      </c>
      <c r="I20" t="s" s="12">
        <v>40</v>
      </c>
      <c r="J20" s="13" cm="1">
        <f t="array" ref="J20">100*B20</f>
        <v>8100</v>
      </c>
      <c r="K20" s="13" cm="1">
        <f t="array" ref="K20">ROUND(40*(B20*0.5),0)</f>
        <v>1620</v>
      </c>
      <c r="L20" s="12"/>
      <c r="M20" s="12"/>
    </row>
    <row r="21" ht="79" customHeight="1">
      <c r="A21" t="s" s="14">
        <v>79</v>
      </c>
      <c r="B21" t="s" s="11">
        <v>106</v>
      </c>
      <c r="C21" t="s" s="12">
        <v>80</v>
      </c>
      <c r="D21" t="s" s="12">
        <v>81</v>
      </c>
      <c r="E21" t="s" s="12">
        <v>82</v>
      </c>
      <c r="F21" t="s" s="12">
        <v>83</v>
      </c>
      <c r="G21" t="s" s="12">
        <v>107</v>
      </c>
      <c r="H21" t="s" s="12">
        <v>108</v>
      </c>
      <c r="I21" t="s" s="12">
        <v>40</v>
      </c>
      <c r="J21" s="13" cm="1">
        <f t="array" ref="J21">100*B21</f>
        <v>9000</v>
      </c>
      <c r="K21" s="13" cm="1">
        <f t="array" ref="K21">ROUND(40*(B21*0.5),0)</f>
        <v>1800</v>
      </c>
      <c r="L21" s="12"/>
      <c r="M21" s="12"/>
    </row>
    <row r="22" ht="79" customHeight="1">
      <c r="A22" t="s" s="14">
        <v>86</v>
      </c>
      <c r="B22" t="s" s="11">
        <v>20</v>
      </c>
      <c r="C22" t="s" s="12">
        <v>88</v>
      </c>
      <c r="D22" t="s" s="12">
        <v>89</v>
      </c>
      <c r="E22" t="s" s="12">
        <v>90</v>
      </c>
      <c r="F22" t="s" s="12">
        <v>91</v>
      </c>
      <c r="G22" t="s" s="12">
        <v>107</v>
      </c>
      <c r="H22" t="s" s="12">
        <v>109</v>
      </c>
      <c r="I22" t="s" s="12">
        <v>48</v>
      </c>
      <c r="J22" s="13" cm="1">
        <f t="array" ref="J22">100*B22</f>
        <v>10000</v>
      </c>
      <c r="K22" s="13" cm="1">
        <f t="array" ref="K22">ROUND(40*(B22*0.5),0)</f>
        <v>2000</v>
      </c>
      <c r="L22" s="12"/>
      <c r="M22" s="12"/>
    </row>
    <row r="23" ht="57.5" customHeight="1">
      <c r="A23" t="s" s="15">
        <v>14</v>
      </c>
      <c r="B23" t="s" s="11">
        <v>110</v>
      </c>
      <c r="C23" t="s" s="12">
        <v>15</v>
      </c>
      <c r="D23" t="s" s="12">
        <v>16</v>
      </c>
      <c r="E23" t="s" s="12">
        <v>17</v>
      </c>
      <c r="F23" t="s" s="12">
        <v>18</v>
      </c>
      <c r="G23" t="s" s="12">
        <v>15</v>
      </c>
      <c r="H23" t="s" s="12">
        <v>70</v>
      </c>
      <c r="I23" t="s" s="12">
        <v>19</v>
      </c>
      <c r="J23" s="13" cm="1">
        <f t="array" ref="J23">100*B23</f>
        <v>20000</v>
      </c>
      <c r="K23" s="13" cm="1">
        <f t="array" ref="K23">ROUND(40*(B23*0.3),0)</f>
        <v>2400</v>
      </c>
      <c r="L23" s="12"/>
      <c r="M23" s="12"/>
    </row>
    <row r="24" ht="57.5" customHeight="1">
      <c r="A24" t="s" s="15">
        <v>22</v>
      </c>
      <c r="B24" t="s" s="11">
        <v>111</v>
      </c>
      <c r="C24" t="s" s="12">
        <v>24</v>
      </c>
      <c r="D24" t="s" s="12">
        <v>25</v>
      </c>
      <c r="E24" t="s" s="12">
        <v>26</v>
      </c>
      <c r="F24" t="s" s="12">
        <v>27</v>
      </c>
      <c r="G24" t="s" s="12">
        <v>15</v>
      </c>
      <c r="H24" t="s" s="12">
        <v>77</v>
      </c>
      <c r="I24" t="s" s="12">
        <v>19</v>
      </c>
      <c r="J24" s="13" cm="1">
        <f t="array" ref="J24">100*B24</f>
        <v>23000</v>
      </c>
      <c r="K24" s="13" cm="1">
        <f t="array" ref="K24">ROUND(40*(B24*0.3),0)</f>
        <v>2760</v>
      </c>
      <c r="L24" s="12"/>
      <c r="M24" s="12"/>
    </row>
    <row r="25" ht="57.5" customHeight="1">
      <c r="A25" t="s" s="15">
        <v>96</v>
      </c>
      <c r="B25" t="s" s="11">
        <v>112</v>
      </c>
      <c r="C25" t="s" s="12">
        <v>32</v>
      </c>
      <c r="D25" t="s" s="12">
        <v>33</v>
      </c>
      <c r="E25" t="s" s="12">
        <v>34</v>
      </c>
      <c r="F25" t="s" s="12">
        <v>35</v>
      </c>
      <c r="G25" t="s" s="12">
        <v>113</v>
      </c>
      <c r="H25" t="s" s="12">
        <v>84</v>
      </c>
      <c r="I25" t="s" s="12">
        <v>19</v>
      </c>
      <c r="J25" s="13" cm="1">
        <f t="array" ref="J25">100*B25</f>
        <v>26000</v>
      </c>
      <c r="K25" s="13" cm="1">
        <f t="array" ref="K25">ROUND(40*(B25*0.3),0)</f>
        <v>3120</v>
      </c>
      <c r="L25" s="12"/>
      <c r="M25" s="12"/>
    </row>
    <row r="26" ht="57.5" customHeight="1">
      <c r="A26" t="s" s="15">
        <v>39</v>
      </c>
      <c r="B26" t="s" s="11">
        <v>114</v>
      </c>
      <c r="C26" t="s" s="12">
        <v>41</v>
      </c>
      <c r="D26" t="s" s="12">
        <v>42</v>
      </c>
      <c r="E26" t="s" s="12">
        <v>43</v>
      </c>
      <c r="F26" t="s" s="12">
        <v>44</v>
      </c>
      <c r="G26" t="s" s="12">
        <v>113</v>
      </c>
      <c r="H26" t="s" s="12">
        <v>92</v>
      </c>
      <c r="I26" t="s" s="12">
        <v>19</v>
      </c>
      <c r="J26" s="13" cm="1">
        <f t="array" ref="J26">100*B26</f>
        <v>30000</v>
      </c>
      <c r="K26" s="13" cm="1">
        <f t="array" ref="K26">ROUND(40*(B26*0.3),0)</f>
        <v>3600</v>
      </c>
      <c r="L26" s="12"/>
      <c r="M26" s="12"/>
    </row>
    <row r="27" ht="57.5" customHeight="1">
      <c r="A27" t="s" s="15">
        <v>47</v>
      </c>
      <c r="B27" t="s" s="11">
        <v>115</v>
      </c>
      <c r="C27" t="s" s="12">
        <v>49</v>
      </c>
      <c r="D27" t="s" s="12">
        <v>50</v>
      </c>
      <c r="E27" t="s" s="12">
        <v>51</v>
      </c>
      <c r="F27" t="s" s="12">
        <v>52</v>
      </c>
      <c r="G27" t="s" s="12">
        <v>24</v>
      </c>
      <c r="H27" t="s" s="12">
        <v>105</v>
      </c>
      <c r="I27" t="s" s="12">
        <v>53</v>
      </c>
      <c r="J27" s="13" cm="1">
        <f t="array" ref="J27">100*B27</f>
        <v>35000</v>
      </c>
      <c r="K27" s="13" cm="1">
        <f t="array" ref="K27">ROUND(40*(B27*0.3),0)</f>
        <v>4200</v>
      </c>
      <c r="L27" s="12"/>
      <c r="M27" s="12"/>
    </row>
    <row r="28" ht="57.5" customHeight="1">
      <c r="A28" t="s" s="15">
        <v>56</v>
      </c>
      <c r="B28" t="s" s="11">
        <v>116</v>
      </c>
      <c r="C28" t="s" s="12">
        <v>58</v>
      </c>
      <c r="D28" t="s" s="12">
        <v>59</v>
      </c>
      <c r="E28" t="s" s="12">
        <v>60</v>
      </c>
      <c r="F28" t="s" s="12">
        <v>61</v>
      </c>
      <c r="G28" t="s" s="12">
        <v>24</v>
      </c>
      <c r="H28" t="s" s="12">
        <v>108</v>
      </c>
      <c r="I28" t="s" s="12">
        <v>53</v>
      </c>
      <c r="J28" s="13" cm="1">
        <f t="array" ref="J28">100*B28</f>
        <v>40000</v>
      </c>
      <c r="K28" s="13" cm="1">
        <f t="array" ref="K28">ROUND(40*(B28*0.3),0)</f>
        <v>4800</v>
      </c>
      <c r="L28" s="12"/>
      <c r="M28" s="12"/>
    </row>
    <row r="29" ht="57.5" customHeight="1">
      <c r="A29" t="s" s="15">
        <v>64</v>
      </c>
      <c r="B29" t="s" s="11">
        <v>117</v>
      </c>
      <c r="C29" t="s" s="12">
        <v>65</v>
      </c>
      <c r="D29" t="s" s="12">
        <v>66</v>
      </c>
      <c r="E29" t="s" s="12">
        <v>67</v>
      </c>
      <c r="F29" t="s" s="12">
        <v>68</v>
      </c>
      <c r="G29" t="s" s="12">
        <v>118</v>
      </c>
      <c r="H29" t="s" s="12">
        <v>109</v>
      </c>
      <c r="I29" t="s" s="12">
        <v>53</v>
      </c>
      <c r="J29" s="13" cm="1">
        <f t="array" ref="J29">100*B29</f>
        <v>45000</v>
      </c>
      <c r="K29" s="13" cm="1">
        <f t="array" ref="K29">ROUND(40*(B29*0.3),0)</f>
        <v>5400</v>
      </c>
      <c r="L29" s="12"/>
      <c r="M29" s="12"/>
    </row>
    <row r="30" ht="79" customHeight="1">
      <c r="A30" t="s" s="15">
        <v>72</v>
      </c>
      <c r="B30" t="s" s="11">
        <v>119</v>
      </c>
      <c r="C30" t="s" s="12">
        <v>73</v>
      </c>
      <c r="D30" t="s" s="12">
        <v>74</v>
      </c>
      <c r="E30" t="s" s="12">
        <v>75</v>
      </c>
      <c r="F30" t="s" s="12">
        <v>76</v>
      </c>
      <c r="G30" t="s" s="12">
        <v>118</v>
      </c>
      <c r="H30" t="s" s="12">
        <v>120</v>
      </c>
      <c r="I30" t="s" s="12">
        <v>40</v>
      </c>
      <c r="J30" s="13" cm="1">
        <f t="array" ref="J30">100*B30</f>
        <v>50000</v>
      </c>
      <c r="K30" s="13" cm="1">
        <f t="array" ref="K30">ROUND(40*(B30*0.3),0)</f>
        <v>6000</v>
      </c>
      <c r="L30" s="12"/>
      <c r="M30" s="12"/>
    </row>
    <row r="31" ht="79" customHeight="1">
      <c r="A31" t="s" s="15">
        <v>79</v>
      </c>
      <c r="B31" t="s" s="11">
        <v>121</v>
      </c>
      <c r="C31" t="s" s="12">
        <v>80</v>
      </c>
      <c r="D31" t="s" s="12">
        <v>81</v>
      </c>
      <c r="E31" t="s" s="12">
        <v>82</v>
      </c>
      <c r="F31" t="s" s="12">
        <v>83</v>
      </c>
      <c r="G31" t="s" s="12">
        <v>32</v>
      </c>
      <c r="H31" t="s" s="12">
        <v>122</v>
      </c>
      <c r="I31" t="s" s="12">
        <v>40</v>
      </c>
      <c r="J31" s="13" cm="1">
        <f t="array" ref="J31">100*B31</f>
        <v>55000</v>
      </c>
      <c r="K31" s="13" cm="1">
        <f t="array" ref="K31">ROUND(40*(B31*0.3),0)</f>
        <v>6600</v>
      </c>
      <c r="L31" s="12"/>
      <c r="M31" s="12"/>
    </row>
    <row r="32" ht="79" customHeight="1">
      <c r="A32" t="s" s="15">
        <v>86</v>
      </c>
      <c r="B32" t="s" s="11">
        <v>123</v>
      </c>
      <c r="C32" t="s" s="12">
        <v>88</v>
      </c>
      <c r="D32" t="s" s="12">
        <v>89</v>
      </c>
      <c r="E32" t="s" s="12">
        <v>90</v>
      </c>
      <c r="F32" t="s" s="12">
        <v>91</v>
      </c>
      <c r="G32" t="s" s="12">
        <v>32</v>
      </c>
      <c r="H32" t="s" s="12">
        <v>124</v>
      </c>
      <c r="I32" t="s" s="12">
        <v>48</v>
      </c>
      <c r="J32" s="13" cm="1">
        <f t="array" ref="J32">100*B32</f>
        <v>60000</v>
      </c>
      <c r="K32" s="13" cm="1">
        <f t="array" ref="K32">ROUND(40*(B32*0.3),0)</f>
        <v>7200</v>
      </c>
      <c r="L32" s="12"/>
      <c r="M32" s="12"/>
    </row>
    <row r="33" ht="116.05" customHeight="1">
      <c r="A33" t="s" s="16">
        <v>125</v>
      </c>
      <c r="B33" t="s" s="11">
        <v>126</v>
      </c>
      <c r="C33" t="s" s="12">
        <v>19</v>
      </c>
      <c r="D33" t="s" s="12">
        <v>127</v>
      </c>
      <c r="E33" t="s" s="12">
        <v>128</v>
      </c>
      <c r="F33" t="s" s="12">
        <v>129</v>
      </c>
      <c r="G33" s="12"/>
      <c r="H33" s="12"/>
      <c r="I33" s="12"/>
      <c r="J33" s="13" cm="1">
        <f t="array" ref="J33">100*B33</f>
        <v>100000</v>
      </c>
      <c r="K33" s="13" cm="1">
        <f t="array" ref="K33">ROUND(40*(B33*0.3),0)</f>
        <v>12000</v>
      </c>
      <c r="L33" t="s" s="12">
        <v>130</v>
      </c>
      <c r="M33" t="s" s="12">
        <v>131</v>
      </c>
    </row>
    <row r="34" ht="20.05" customHeight="1">
      <c r="A34" s="17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ht="20.05" customHeight="1">
      <c r="A35" s="17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ht="20.05" customHeight="1">
      <c r="A36" s="17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ht="20.05" customHeight="1">
      <c r="A37" s="17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ht="20.05" customHeight="1">
      <c r="A38" s="17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ht="20.05" customHeight="1">
      <c r="A39" s="17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ht="20.05" customHeight="1">
      <c r="A40" s="17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ht="20.05" customHeight="1">
      <c r="A41" s="17"/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ht="20.05" customHeight="1">
      <c r="A42" s="17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ht="20.05" customHeight="1">
      <c r="A43" s="17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ht="20.05" customHeight="1">
      <c r="A44" s="17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ht="20.05" customHeight="1">
      <c r="A45" s="17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ht="20.05" customHeight="1">
      <c r="A46" s="17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ht="20.05" customHeight="1">
      <c r="A47" s="17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ht="20.05" customHeight="1">
      <c r="A48" s="17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ht="20.05" customHeight="1">
      <c r="A49" s="17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ht="20.05" customHeight="1">
      <c r="A50" s="17"/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ht="20.05" customHeight="1">
      <c r="A51" s="17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ht="20.05" customHeight="1">
      <c r="A52" s="17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ht="20.05" customHeight="1">
      <c r="A53" s="17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ht="20.05" customHeight="1">
      <c r="A54" s="17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ht="20.05" customHeight="1">
      <c r="A55" s="17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ht="20.05" customHeight="1">
      <c r="A56" s="17"/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ht="20.05" customHeight="1">
      <c r="A57" s="17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ht="20.05" customHeight="1">
      <c r="A58" s="17"/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ht="20.05" customHeight="1">
      <c r="A59" s="17"/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ht="20.05" customHeight="1">
      <c r="A60" s="17"/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ht="20.05" customHeight="1">
      <c r="A61" s="17"/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ht="20.05" customHeight="1">
      <c r="A62" s="17"/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ht="20.05" customHeight="1">
      <c r="A63" s="17"/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ht="20.05" customHeight="1">
      <c r="A64" s="17"/>
      <c r="B64" s="11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ht="20.05" customHeight="1">
      <c r="A65" s="17"/>
      <c r="B65" s="11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ht="20.05" customHeight="1">
      <c r="A66" s="17"/>
      <c r="B66" s="1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ht="20.05" customHeight="1">
      <c r="A67" s="17"/>
      <c r="B67" s="1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ht="20.05" customHeight="1">
      <c r="A68" s="17"/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ht="20.05" customHeight="1">
      <c r="A69" s="17"/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ht="20.05" customHeight="1">
      <c r="A70" s="17"/>
      <c r="B70" s="11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ht="20.05" customHeight="1">
      <c r="A71" s="17"/>
      <c r="B71" s="1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ht="20.05" customHeight="1">
      <c r="A72" s="17"/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ht="20.05" customHeight="1">
      <c r="A73" s="17"/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ht="20.05" customHeight="1">
      <c r="A74" s="17"/>
      <c r="B74" s="1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ht="20.05" customHeight="1">
      <c r="A75" s="17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ht="20.05" customHeight="1">
      <c r="A76" s="17"/>
      <c r="B76" s="11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ht="20.05" customHeight="1">
      <c r="A77" s="17"/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ht="20.05" customHeight="1">
      <c r="A78" s="17"/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ht="20.05" customHeight="1">
      <c r="A79" s="17"/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ht="20.05" customHeight="1">
      <c r="A80" s="17"/>
      <c r="B80" s="11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ht="20.05" customHeight="1">
      <c r="A81" s="17"/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ht="20.05" customHeight="1">
      <c r="A82" s="17"/>
      <c r="B82" s="1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ht="20.05" customHeight="1">
      <c r="A83" s="17"/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ht="20.05" customHeight="1">
      <c r="A84" s="17"/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ht="20.05" customHeight="1">
      <c r="A85" s="17"/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ht="20.05" customHeight="1">
      <c r="A86" s="17"/>
      <c r="B86" s="11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ht="20.05" customHeight="1">
      <c r="A87" s="17"/>
      <c r="B87" s="11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ht="20.05" customHeight="1">
      <c r="A88" s="17"/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ht="20.05" customHeight="1">
      <c r="A89" s="17"/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ht="20.05" customHeight="1">
      <c r="A90" s="17"/>
      <c r="B90" s="1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ht="20.05" customHeight="1">
      <c r="A91" s="17"/>
      <c r="B91" s="1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ht="20.05" customHeight="1">
      <c r="A92" s="17"/>
      <c r="B92" s="1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ht="20.05" customHeight="1">
      <c r="A93" s="17"/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ht="20.05" customHeight="1">
      <c r="A94" s="17"/>
      <c r="B94" s="1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</sheetData>
  <mergeCells count="1">
    <mergeCell ref="A1:M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