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<sst xmlns="http://schemas.openxmlformats.org/spreadsheetml/2006/main" uniqueCount="126">
  <si>
    <t>Tableau 1</t>
  </si>
  <si>
    <t>id</t>
  </si>
  <si>
    <t>name</t>
  </si>
  <si>
    <t>icon</t>
  </si>
  <si>
    <t>hp</t>
  </si>
  <si>
    <t>dmg</t>
  </si>
  <si>
    <t>at</t>
  </si>
  <si>
    <t>str</t>
  </si>
  <si>
    <t>mag</t>
  </si>
  <si>
    <t>crit</t>
  </si>
  <si>
    <t>phv</t>
  </si>
  <si>
    <t>mav</t>
  </si>
  <si>
    <t>dodge</t>
  </si>
  <si>
    <t>Regen</t>
  </si>
  <si>
    <t>xp</t>
  </si>
  <si>
    <t>gold</t>
  </si>
  <si>
    <t>Feu</t>
  </si>
  <si>
    <t>Terre</t>
  </si>
  <si>
    <t>Foudre</t>
  </si>
  <si>
    <t>Eau</t>
  </si>
  <si>
    <t>Sacre</t>
  </si>
  <si>
    <t>Tenebres</t>
  </si>
  <si>
    <t>RAPPORT DE DIFFICULTE RESISTANCES</t>
  </si>
  <si>
    <t>RAPPORT DE DIFFICULTE
VULN. ELEM</t>
  </si>
  <si>
    <t>RAPPORT DE DIFFICULTE ATTAQUE</t>
  </si>
  <si>
    <t>RAPPORT DE DIFFICULTE GLOBAL</t>
  </si>
  <si>
    <t>RAPPORT DE RECOMPENSES</t>
  </si>
  <si>
    <t>e_loup</t>
  </si>
  <si>
    <t>Loup</t>
  </si>
  <si>
    <t>🐺</t>
  </si>
  <si>
    <t>physical</t>
  </si>
  <si>
    <t>0,08</t>
  </si>
  <si>
    <t>e_vautour</t>
  </si>
  <si>
    <t>Vautour</t>
  </si>
  <si>
    <t>🦅</t>
  </si>
  <si>
    <t>e_sanglier</t>
  </si>
  <si>
    <t>Sanglier</t>
  </si>
  <si>
    <t>🐗</t>
  </si>
  <si>
    <t>e_chasseur</t>
  </si>
  <si>
    <t>Chasseur</t>
  </si>
  <si>
    <t>🏹</t>
  </si>
  <si>
    <t>e_slime_bleu</t>
  </si>
  <si>
    <t>Slime bleu</t>
  </si>
  <si>
    <t>🔵</t>
  </si>
  <si>
    <t>magical</t>
  </si>
  <si>
    <t>0,02</t>
  </si>
  <si>
    <t>e_crabe</t>
  </si>
  <si>
    <t>Crabe géant</t>
  </si>
  <si>
    <t>🦀</t>
  </si>
  <si>
    <t>e_saurien</t>
  </si>
  <si>
    <t>Guerrier saurien</t>
  </si>
  <si>
    <t>🦎</t>
  </si>
  <si>
    <t>e_scorpion</t>
  </si>
  <si>
    <t>Scorpion</t>
  </si>
  <si>
    <t>🦂</t>
  </si>
  <si>
    <t>0,85</t>
  </si>
  <si>
    <t>e_cactuaire</t>
  </si>
  <si>
    <t>Cactuaire</t>
  </si>
  <si>
    <t>🌵</t>
  </si>
  <si>
    <t>0,8</t>
  </si>
  <si>
    <t>e_slime_jaune</t>
  </si>
  <si>
    <t>Slime jaune</t>
  </si>
  <si>
    <t>🟡</t>
  </si>
  <si>
    <t>e_mage_noir</t>
  </si>
  <si>
    <t>Mage noir</t>
  </si>
  <si>
    <t>🧙</t>
  </si>
  <si>
    <t>0,04</t>
  </si>
  <si>
    <t>e_esprit</t>
  </si>
  <si>
    <t>Esprit farouche</t>
  </si>
  <si>
    <t>👻</t>
  </si>
  <si>
    <t>1,25</t>
  </si>
  <si>
    <t>0,7</t>
  </si>
  <si>
    <t>e_coupe_jarret</t>
  </si>
  <si>
    <t>Coupe-jarret</t>
  </si>
  <si>
    <t>🗡️</t>
  </si>
  <si>
    <t>0,10</t>
  </si>
  <si>
    <t>e_soldat_corrompu</t>
  </si>
  <si>
    <t>Soldat corrompu</t>
  </si>
  <si>
    <t>⚔️</t>
  </si>
  <si>
    <t>e_homme_serpent</t>
  </si>
  <si>
    <t>Homme-serpent</t>
  </si>
  <si>
    <t>🐍</t>
  </si>
  <si>
    <t>0,9</t>
  </si>
  <si>
    <t>e_garde_royal</t>
  </si>
  <si>
    <t>Garde royal</t>
  </si>
  <si>
    <t>🛡️</t>
  </si>
  <si>
    <t>e_statue_animee</t>
  </si>
  <si>
    <t>Statue animée</t>
  </si>
  <si>
    <t>🗿</t>
  </si>
  <si>
    <t>e_assassin</t>
  </si>
  <si>
    <t>Assassin</t>
  </si>
  <si>
    <t>🥷</t>
  </si>
  <si>
    <t>e_squelette</t>
  </si>
  <si>
    <t>Squelette</t>
  </si>
  <si>
    <t>💀</t>
  </si>
  <si>
    <t>e_zombie</t>
  </si>
  <si>
    <t>Zombie</t>
  </si>
  <si>
    <t>🧟</t>
  </si>
  <si>
    <t>e_slime_noir</t>
  </si>
  <si>
    <t>Slime noir</t>
  </si>
  <si>
    <t>⚫️</t>
  </si>
  <si>
    <t>e_slime_rouge</t>
  </si>
  <si>
    <t>Slime rouge</t>
  </si>
  <si>
    <t>🔴</t>
  </si>
  <si>
    <t>e_demon_inf</t>
  </si>
  <si>
    <t>Démon inférieur</t>
  </si>
  <si>
    <t>😈</t>
  </si>
  <si>
    <t>0,95</t>
  </si>
  <si>
    <t>0,05</t>
  </si>
  <si>
    <t>e_armure</t>
  </si>
  <si>
    <t>Armure possédée</t>
  </si>
  <si>
    <t>e_diablotin</t>
  </si>
  <si>
    <t>Diablotin</t>
  </si>
  <si>
    <t>👺</t>
  </si>
  <si>
    <t>e_demon_sup</t>
  </si>
  <si>
    <t>Démon supérieur</t>
  </si>
  <si>
    <t>👿</t>
  </si>
  <si>
    <t>e_chien_infernal</t>
  </si>
  <si>
    <t>Chien infernal</t>
  </si>
  <si>
    <t>🐕‍🦺</t>
  </si>
  <si>
    <t>e_ange_dechu</t>
  </si>
  <si>
    <t>Ange déchu</t>
  </si>
  <si>
    <t>🪽</t>
  </si>
  <si>
    <t>e_slime_chroma</t>
  </si>
  <si>
    <t>Slime chromatique</t>
  </si>
  <si>
    <t>🌈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</si>
</sst>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3" borderId="2" applyNumberFormat="0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0" fontId="3" borderId="4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3" borderId="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3">
    <dxf>
      <font>
        <color rgb="ff669c35"/>
      </font>
    </dxf>
    <dxf>
      <font>
        <color rgb="fff27100"/>
      </font>
      <fill>
        <patternFill patternType="solid">
          <fgColor indexed="14"/>
          <bgColor indexed="15"/>
        </patternFill>
      </fill>
    </dxf>
    <dxf>
      <font>
        <color rgb="ffe324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dbdbdb"/>
      <rgbColor rgb="ff669c35"/>
      <rgbColor rgb="00000000"/>
      <rgbColor rgb="fffefffe"/>
      <rgbColor rgb="fff27100"/>
      <rgbColor rgb="ffe324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A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6.10938" style="1" customWidth="1"/>
    <col min="5" max="5" width="6.97656" style="1" customWidth="1"/>
    <col min="6" max="6" width="6.71875" style="1" customWidth="1"/>
    <col min="7" max="7" width="9.72656" style="1" customWidth="1"/>
    <col min="8" max="8" width="6.07812" style="1" customWidth="1"/>
    <col min="9" max="9" width="6.23438" style="1" customWidth="1"/>
    <col min="10" max="10" width="6.05469" style="1" customWidth="1"/>
    <col min="11" max="11" width="6.78125" style="1" customWidth="1"/>
    <col min="12" max="12" width="6.23438" style="1" customWidth="1"/>
    <col min="13" max="14" width="8.53906" style="1" customWidth="1"/>
    <col min="15" max="15" width="6.02344" style="1" customWidth="1"/>
    <col min="16" max="16" width="7.03906" style="1" customWidth="1"/>
    <col min="17" max="17" width="7.55469" style="1" customWidth="1"/>
    <col min="18" max="18" width="7.53125" style="1" customWidth="1"/>
    <col min="19" max="19" width="6.89844" style="1" customWidth="1"/>
    <col min="20" max="20" width="8.42969" style="1" customWidth="1"/>
    <col min="21" max="21" width="8.40625" style="1" customWidth="1"/>
    <col min="22" max="22" width="8.88281" style="1" customWidth="1"/>
    <col min="23" max="23" width="14.8828" style="1" customWidth="1"/>
    <col min="24" max="26" width="12.9062" style="1" customWidth="1"/>
    <col min="27" max="27" width="15.1172" style="1" customWidth="1"/>
    <col min="2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4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  <c r="U2" t="s" s="4">
        <v>20</v>
      </c>
      <c r="V2" t="s" s="4">
        <v>21</v>
      </c>
      <c r="W2" t="s" s="5">
        <v>22</v>
      </c>
      <c r="X2" t="s" s="5">
        <v>23</v>
      </c>
      <c r="Y2" t="s" s="5">
        <v>24</v>
      </c>
      <c r="Z2" t="s" s="5">
        <v>25</v>
      </c>
      <c r="AA2" t="s" s="5">
        <v>26</v>
      </c>
    </row>
    <row r="3" ht="25.55" customHeight="1">
      <c r="A3" s="6"/>
      <c r="B3" t="s" s="7">
        <v>27</v>
      </c>
      <c r="C3" t="s" s="8">
        <v>28</v>
      </c>
      <c r="D3" t="s" s="8">
        <v>29</v>
      </c>
      <c r="E3" s="9">
        <v>40</v>
      </c>
      <c r="F3" s="9">
        <v>10</v>
      </c>
      <c r="G3" t="s" s="8">
        <v>30</v>
      </c>
      <c r="H3" s="9">
        <v>1</v>
      </c>
      <c r="I3" s="9">
        <v>1</v>
      </c>
      <c r="J3" s="9">
        <v>4</v>
      </c>
      <c r="K3" s="9">
        <v>0.97</v>
      </c>
      <c r="L3" s="9">
        <v>1.02</v>
      </c>
      <c r="M3" t="s" s="8">
        <v>31</v>
      </c>
      <c r="N3" s="9">
        <v>0</v>
      </c>
      <c r="O3" s="9">
        <v>5</v>
      </c>
      <c r="P3" s="9">
        <v>5</v>
      </c>
      <c r="Q3" s="9">
        <v>1.3</v>
      </c>
      <c r="R3" s="9">
        <v>1</v>
      </c>
      <c r="S3" s="9">
        <v>1</v>
      </c>
      <c r="T3" s="9">
        <v>1</v>
      </c>
      <c r="U3" s="9">
        <v>1</v>
      </c>
      <c r="V3" s="9">
        <v>0.9</v>
      </c>
      <c r="W3" s="10" cm="1">
        <f t="array" ref="W3">ROUND(((E3/40)+(1/K3)+(1/L3)+(M3/0.08))/4,3)</f>
        <v>1.003</v>
      </c>
      <c r="X3" s="10" cm="1">
        <f t="array" ref="X3">ROUND((6/(Q3+R3+S3+T3+U3+V3)),3)</f>
        <v>0.968</v>
      </c>
      <c r="Y3" s="10" cm="1">
        <f t="array" ref="Y3">ROUND(((F3/10)+(J3/4))/2,3)</f>
        <v>1</v>
      </c>
      <c r="Z3" s="10" cm="1">
        <f t="array" ref="Z3">ROUND((Y3+X3+W3)/3,3)</f>
        <v>0.99</v>
      </c>
      <c r="AA3" s="10" cm="1">
        <f t="array" ref="AA3">ROUND((O3+P3)/10,3)</f>
        <v>1</v>
      </c>
    </row>
    <row r="4" ht="25.35" customHeight="1">
      <c r="A4" s="11"/>
      <c r="B4" t="s" s="12">
        <v>32</v>
      </c>
      <c r="C4" t="s" s="13">
        <v>33</v>
      </c>
      <c r="D4" t="s" s="13">
        <v>34</v>
      </c>
      <c r="E4" s="14">
        <v>28</v>
      </c>
      <c r="F4" s="14">
        <v>8</v>
      </c>
      <c r="G4" t="s" s="13">
        <v>30</v>
      </c>
      <c r="H4" s="14">
        <v>1</v>
      </c>
      <c r="I4" s="14">
        <v>1</v>
      </c>
      <c r="J4" s="14">
        <v>4</v>
      </c>
      <c r="K4" s="14">
        <v>1.02</v>
      </c>
      <c r="L4" s="14">
        <v>1.04</v>
      </c>
      <c r="M4" s="14">
        <v>0.1</v>
      </c>
      <c r="N4" s="14">
        <v>0</v>
      </c>
      <c r="O4" s="14">
        <v>5</v>
      </c>
      <c r="P4" s="14">
        <v>5</v>
      </c>
      <c r="Q4" s="14">
        <v>1</v>
      </c>
      <c r="R4" s="14">
        <v>0.5</v>
      </c>
      <c r="S4" s="14">
        <v>1.5</v>
      </c>
      <c r="T4" s="14">
        <v>1</v>
      </c>
      <c r="U4" s="14">
        <v>1</v>
      </c>
      <c r="V4" s="14">
        <v>1</v>
      </c>
      <c r="W4" s="15" cm="1">
        <f t="array" ref="W4">ROUND(((E4/40)+(1/K4)+(1/L4)+(M4/0.08))/4,3)</f>
        <v>0.973</v>
      </c>
      <c r="X4" s="15" cm="1">
        <f t="array" ref="X4">ROUND((6/(Q4+R4+S4+T4+U4+V4)),3)</f>
        <v>1</v>
      </c>
      <c r="Y4" s="15" cm="1">
        <f t="array" ref="Y4">ROUND(((F4/10)+(J4/4))/2,3)</f>
        <v>0.9</v>
      </c>
      <c r="Z4" s="15" cm="1">
        <f t="array" ref="Z4">ROUND((Y4+X4+W4)/3,3)</f>
        <v>0.958</v>
      </c>
      <c r="AA4" s="15" cm="1">
        <f t="array" ref="AA4">ROUND((O4+P4)/10,3)</f>
        <v>1</v>
      </c>
    </row>
    <row r="5" ht="25.35" customHeight="1">
      <c r="A5" s="11"/>
      <c r="B5" t="s" s="12">
        <v>35</v>
      </c>
      <c r="C5" t="s" s="13">
        <v>36</v>
      </c>
      <c r="D5" t="s" s="13">
        <v>37</v>
      </c>
      <c r="E5" s="14">
        <v>70</v>
      </c>
      <c r="F5" s="14">
        <v>12</v>
      </c>
      <c r="G5" t="s" s="13">
        <v>30</v>
      </c>
      <c r="H5" s="14">
        <v>1</v>
      </c>
      <c r="I5" s="14">
        <v>1</v>
      </c>
      <c r="J5" s="14">
        <v>4</v>
      </c>
      <c r="K5" s="14">
        <v>0.85</v>
      </c>
      <c r="L5" s="14">
        <v>1</v>
      </c>
      <c r="M5" s="14">
        <v>0.03</v>
      </c>
      <c r="N5" s="14">
        <v>0</v>
      </c>
      <c r="O5" s="14">
        <v>6</v>
      </c>
      <c r="P5" s="14">
        <v>5</v>
      </c>
      <c r="Q5" s="14">
        <v>0.9</v>
      </c>
      <c r="R5" s="14">
        <v>0.9</v>
      </c>
      <c r="S5" s="14">
        <v>0.9</v>
      </c>
      <c r="T5" s="14">
        <v>0.9</v>
      </c>
      <c r="U5" s="14">
        <v>0.9</v>
      </c>
      <c r="V5" s="14">
        <v>1</v>
      </c>
      <c r="W5" s="15" cm="1">
        <f t="array" ref="W5">ROUND(((E5/40)+(1/K5)+(1/L5)+(M5/0.08))/4,3)</f>
        <v>1.075</v>
      </c>
      <c r="X5" s="15" cm="1">
        <f t="array" ref="X5">ROUND((6/(Q5+R5+S5+T5+U5+V5)),3)</f>
        <v>1.091</v>
      </c>
      <c r="Y5" s="15" cm="1">
        <f t="array" ref="Y5">ROUND(((F5/10)+(J5/4))/2,3)</f>
        <v>1.1</v>
      </c>
      <c r="Z5" s="15" cm="1">
        <f t="array" ref="Z5">ROUND((Y5+X5+W5)/3,3)</f>
        <v>1.089</v>
      </c>
      <c r="AA5" s="15" cm="1">
        <f t="array" ref="AA5">ROUND((O5+P5)/10,3)</f>
        <v>1.1</v>
      </c>
    </row>
    <row r="6" ht="25.35" customHeight="1">
      <c r="A6" s="11"/>
      <c r="B6" t="s" s="12">
        <v>38</v>
      </c>
      <c r="C6" t="s" s="13">
        <v>39</v>
      </c>
      <c r="D6" t="s" s="13">
        <v>40</v>
      </c>
      <c r="E6" s="14">
        <v>35</v>
      </c>
      <c r="F6" s="14">
        <v>14</v>
      </c>
      <c r="G6" t="s" s="13">
        <v>30</v>
      </c>
      <c r="H6" s="14">
        <v>1</v>
      </c>
      <c r="I6" s="14">
        <v>1</v>
      </c>
      <c r="J6" s="14">
        <v>6</v>
      </c>
      <c r="K6" s="14">
        <v>1.02</v>
      </c>
      <c r="L6" s="14">
        <v>1.04</v>
      </c>
      <c r="M6" s="14">
        <v>0.07000000000000001</v>
      </c>
      <c r="N6" s="14">
        <v>0</v>
      </c>
      <c r="O6" s="14">
        <v>5</v>
      </c>
      <c r="P6" s="14">
        <v>6</v>
      </c>
      <c r="Q6" s="14">
        <v>1.1</v>
      </c>
      <c r="R6" s="14">
        <v>1.1</v>
      </c>
      <c r="S6" s="14">
        <v>1.1</v>
      </c>
      <c r="T6" s="14">
        <v>1</v>
      </c>
      <c r="U6" s="14">
        <v>1</v>
      </c>
      <c r="V6" s="14">
        <v>1</v>
      </c>
      <c r="W6" s="15" cm="1">
        <f t="array" ref="W6">ROUND(((E6/40)+(1/K6)+(1/L6)+(M6/0.08))/4,3)</f>
        <v>0.923</v>
      </c>
      <c r="X6" s="15" cm="1">
        <f t="array" ref="X6">ROUND((6/(Q6+R6+S6+T6+U6+V6)),3)</f>
        <v>0.952</v>
      </c>
      <c r="Y6" s="15" cm="1">
        <f t="array" ref="Y6">ROUND(((F6/10)+(J6/4))/2,3)</f>
        <v>1.45</v>
      </c>
      <c r="Z6" s="15" cm="1">
        <f t="array" ref="Z6">ROUND((Y6+X6+W6)/3,3)</f>
        <v>1.108</v>
      </c>
      <c r="AA6" s="15" cm="1">
        <f t="array" ref="AA6">ROUND((O6+P6)/10,3)</f>
        <v>1.1</v>
      </c>
    </row>
    <row r="7" ht="25.35" customHeight="1">
      <c r="A7" s="11"/>
      <c r="B7" t="s" s="12">
        <v>41</v>
      </c>
      <c r="C7" t="s" s="13">
        <v>42</v>
      </c>
      <c r="D7" t="s" s="13">
        <v>43</v>
      </c>
      <c r="E7" s="14">
        <v>35</v>
      </c>
      <c r="F7" s="14">
        <v>15</v>
      </c>
      <c r="G7" t="s" s="13">
        <v>44</v>
      </c>
      <c r="H7" s="14">
        <v>1</v>
      </c>
      <c r="I7" s="14">
        <v>1</v>
      </c>
      <c r="J7" s="14">
        <v>3</v>
      </c>
      <c r="K7" s="14">
        <v>0.65</v>
      </c>
      <c r="L7" s="14">
        <v>1.35</v>
      </c>
      <c r="M7" t="s" s="13">
        <v>45</v>
      </c>
      <c r="N7" s="14">
        <v>0</v>
      </c>
      <c r="O7" s="14">
        <v>6</v>
      </c>
      <c r="P7" s="14">
        <v>5</v>
      </c>
      <c r="Q7" s="14">
        <v>0.7</v>
      </c>
      <c r="R7" s="14">
        <v>0.7</v>
      </c>
      <c r="S7" s="14">
        <v>2</v>
      </c>
      <c r="T7" s="14">
        <v>0.2</v>
      </c>
      <c r="U7" s="14">
        <v>0.7</v>
      </c>
      <c r="V7" s="14">
        <v>0.7</v>
      </c>
      <c r="W7" s="15" cm="1">
        <f t="array" ref="W7">ROUND(((E7/40)+(1/K7)+(1/L7)+(M7/0.08))/4,3)</f>
        <v>0.851</v>
      </c>
      <c r="X7" s="15" cm="1">
        <f t="array" ref="X7">ROUND((6/(Q7+R7+S7+T7+U7+V7)),3)</f>
        <v>1.2</v>
      </c>
      <c r="Y7" s="15" cm="1">
        <f t="array" ref="Y7">ROUND(((F7/10)+(J7/4))/2,3)</f>
        <v>1.125</v>
      </c>
      <c r="Z7" s="15" cm="1">
        <f t="array" ref="Z7">ROUND((Y7+X7+W7)/3,3)</f>
        <v>1.059</v>
      </c>
      <c r="AA7" s="15" cm="1">
        <f t="array" ref="AA7">ROUND((O7+P7)/10,3)</f>
        <v>1.1</v>
      </c>
    </row>
    <row r="8" ht="25.35" customHeight="1">
      <c r="A8" s="11"/>
      <c r="B8" t="s" s="12">
        <v>46</v>
      </c>
      <c r="C8" t="s" s="13">
        <v>47</v>
      </c>
      <c r="D8" t="s" s="13">
        <v>48</v>
      </c>
      <c r="E8" s="14">
        <v>55</v>
      </c>
      <c r="F8" s="14">
        <v>15</v>
      </c>
      <c r="G8" t="s" s="13">
        <v>30</v>
      </c>
      <c r="H8" s="14">
        <v>1</v>
      </c>
      <c r="I8" s="14">
        <v>1</v>
      </c>
      <c r="J8" s="14">
        <v>4</v>
      </c>
      <c r="K8" s="14">
        <v>0.75</v>
      </c>
      <c r="L8" s="14">
        <v>1.1</v>
      </c>
      <c r="M8" s="14">
        <v>0.05</v>
      </c>
      <c r="N8" s="14">
        <v>0</v>
      </c>
      <c r="O8" s="14">
        <v>6</v>
      </c>
      <c r="P8" s="14">
        <v>5</v>
      </c>
      <c r="Q8" s="14">
        <v>1</v>
      </c>
      <c r="R8" s="14">
        <v>1</v>
      </c>
      <c r="S8" s="14">
        <v>1.25</v>
      </c>
      <c r="T8" s="14">
        <v>0.75</v>
      </c>
      <c r="U8" s="14">
        <v>1</v>
      </c>
      <c r="V8" s="14">
        <v>1</v>
      </c>
      <c r="W8" s="15" cm="1">
        <f t="array" ref="W8">ROUND(((E8/40)+(1/K8)+(1/L8)+(M8/0.08))/4,3)</f>
        <v>1.061</v>
      </c>
      <c r="X8" s="15" cm="1">
        <f t="array" ref="X8">ROUND((6/(Q8+R8+S8+T8+U8+V8)),3)</f>
        <v>1</v>
      </c>
      <c r="Y8" s="15" cm="1">
        <f t="array" ref="Y8">ROUND(((F8/10)+(J8/4))/2,3)</f>
        <v>1.25</v>
      </c>
      <c r="Z8" s="15" cm="1">
        <f t="array" ref="Z8">ROUND((Y8+X8+W8)/3,3)</f>
        <v>1.104</v>
      </c>
      <c r="AA8" s="15" cm="1">
        <f t="array" ref="AA8">ROUND((O8+P8)/10,3)</f>
        <v>1.1</v>
      </c>
    </row>
    <row r="9" ht="25.35" customHeight="1">
      <c r="A9" s="11"/>
      <c r="B9" t="s" s="12">
        <v>49</v>
      </c>
      <c r="C9" t="s" s="13">
        <v>50</v>
      </c>
      <c r="D9" t="s" s="13">
        <v>51</v>
      </c>
      <c r="E9" s="14">
        <v>40</v>
      </c>
      <c r="F9" s="14">
        <v>11</v>
      </c>
      <c r="G9" t="s" s="13">
        <v>30</v>
      </c>
      <c r="H9" s="14">
        <v>1</v>
      </c>
      <c r="I9" s="14">
        <v>1</v>
      </c>
      <c r="J9" s="14">
        <v>5</v>
      </c>
      <c r="K9" s="14">
        <v>1.05</v>
      </c>
      <c r="L9" s="14">
        <v>1</v>
      </c>
      <c r="M9" s="14">
        <v>0.06</v>
      </c>
      <c r="N9" s="14">
        <v>10</v>
      </c>
      <c r="O9" s="14">
        <v>5</v>
      </c>
      <c r="P9" s="14">
        <v>6</v>
      </c>
      <c r="Q9" s="14">
        <v>1.2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5" cm="1">
        <f t="array" ref="W9">ROUND(((E9/40)+(1/K9)+(1/L9)+(M9/0.08))/4,3)</f>
        <v>0.926</v>
      </c>
      <c r="X9" s="15" cm="1">
        <f t="array" ref="X9">ROUND((6/(Q9+R9+S9+T9+U9+V9)),3)</f>
        <v>0.968</v>
      </c>
      <c r="Y9" s="15" cm="1">
        <f t="array" ref="Y9">ROUND(((F9/10)+(J9/4))/2,3)</f>
        <v>1.175</v>
      </c>
      <c r="Z9" s="15" cm="1">
        <f t="array" ref="Z9">ROUND((Y9+X9+W9)/3,3)</f>
        <v>1.023</v>
      </c>
      <c r="AA9" s="15" cm="1">
        <f t="array" ref="AA9">ROUND((O9+P9)/10,3)</f>
        <v>1.1</v>
      </c>
    </row>
    <row r="10" ht="25.35" customHeight="1">
      <c r="A10" s="11"/>
      <c r="B10" t="s" s="12">
        <v>52</v>
      </c>
      <c r="C10" t="s" s="13">
        <v>53</v>
      </c>
      <c r="D10" t="s" s="13">
        <v>54</v>
      </c>
      <c r="E10" s="14">
        <v>35</v>
      </c>
      <c r="F10" s="14">
        <v>13</v>
      </c>
      <c r="G10" t="s" s="13">
        <v>30</v>
      </c>
      <c r="H10" s="14">
        <v>1</v>
      </c>
      <c r="I10" s="14">
        <v>1</v>
      </c>
      <c r="J10" s="14">
        <v>5</v>
      </c>
      <c r="K10" s="14">
        <v>0.9</v>
      </c>
      <c r="L10" s="14">
        <v>0.9</v>
      </c>
      <c r="M10" s="14">
        <v>0.05</v>
      </c>
      <c r="N10" s="14">
        <v>0</v>
      </c>
      <c r="O10" s="14">
        <v>6</v>
      </c>
      <c r="P10" s="14">
        <v>5</v>
      </c>
      <c r="Q10" s="14">
        <v>0.85</v>
      </c>
      <c r="R10" t="s" s="13">
        <v>55</v>
      </c>
      <c r="S10" s="14">
        <v>0.85</v>
      </c>
      <c r="T10" s="14">
        <v>0.9</v>
      </c>
      <c r="U10" s="14">
        <v>1</v>
      </c>
      <c r="V10" s="14">
        <v>1</v>
      </c>
      <c r="W10" s="15" cm="1">
        <f t="array" ref="W10">ROUND(((E10/40)+(1/K10)+(1/L10)+(M10/0.08))/4,3)</f>
        <v>0.931</v>
      </c>
      <c r="X10" s="15" cm="1">
        <f t="array" ref="X10">ROUND((6/(Q10+R10+S10+T10+U10+V10)),3)</f>
        <v>1.101</v>
      </c>
      <c r="Y10" s="15" cm="1">
        <f t="array" ref="Y10">ROUND(((F10/10)+(J10/4))/2,3)</f>
        <v>1.275</v>
      </c>
      <c r="Z10" s="15" cm="1">
        <f t="array" ref="Z10">ROUND((Y10+X10+W10)/3,3)</f>
        <v>1.102</v>
      </c>
      <c r="AA10" s="15" cm="1">
        <f t="array" ref="AA10">ROUND((O10+P10)/10,3)</f>
        <v>1.1</v>
      </c>
    </row>
    <row r="11" ht="25.35" customHeight="1">
      <c r="A11" s="11"/>
      <c r="B11" t="s" s="12">
        <v>56</v>
      </c>
      <c r="C11" t="s" s="13">
        <v>57</v>
      </c>
      <c r="D11" t="s" s="13">
        <v>58</v>
      </c>
      <c r="E11" s="14">
        <v>33</v>
      </c>
      <c r="F11" s="14">
        <v>10</v>
      </c>
      <c r="G11" t="s" s="13">
        <v>30</v>
      </c>
      <c r="H11" s="14">
        <v>1</v>
      </c>
      <c r="I11" s="14">
        <v>1</v>
      </c>
      <c r="J11" s="14">
        <v>4</v>
      </c>
      <c r="K11" s="14">
        <v>1</v>
      </c>
      <c r="L11" s="14">
        <v>1.15</v>
      </c>
      <c r="M11" s="14">
        <v>0.04</v>
      </c>
      <c r="N11" s="14">
        <v>0</v>
      </c>
      <c r="O11" s="14">
        <v>4</v>
      </c>
      <c r="P11" s="14">
        <v>5</v>
      </c>
      <c r="Q11" s="14">
        <v>1.3</v>
      </c>
      <c r="R11" t="s" s="13">
        <v>59</v>
      </c>
      <c r="S11" s="14">
        <v>1</v>
      </c>
      <c r="T11" s="14">
        <v>0.8</v>
      </c>
      <c r="U11" s="14">
        <v>1</v>
      </c>
      <c r="V11" s="14">
        <v>1</v>
      </c>
      <c r="W11" s="15" cm="1">
        <f t="array" ref="W11">ROUND(((E11/40)+(1/K11)+(1/L11)+(M11/0.08))/4,3)</f>
        <v>0.799</v>
      </c>
      <c r="X11" s="15" cm="1">
        <f t="array" ref="X11">ROUND((6/(Q11+R11+S11+T11+U11+V11)),3)</f>
        <v>1.017</v>
      </c>
      <c r="Y11" s="15" cm="1">
        <f t="array" ref="Y11">ROUND(((F11/10)+(J11/4))/2,3)</f>
        <v>1</v>
      </c>
      <c r="Z11" s="15" cm="1">
        <f t="array" ref="Z11">ROUND((Y11+X11+W11)/3,3)</f>
        <v>0.9389999999999999</v>
      </c>
      <c r="AA11" s="15" cm="1">
        <f t="array" ref="AA11">ROUND((O11+P11)/10,3)</f>
        <v>0.9</v>
      </c>
    </row>
    <row r="12" ht="25.35" customHeight="1">
      <c r="A12" s="11"/>
      <c r="B12" t="s" s="12">
        <v>60</v>
      </c>
      <c r="C12" t="s" s="13">
        <v>61</v>
      </c>
      <c r="D12" t="s" s="13">
        <v>62</v>
      </c>
      <c r="E12" s="14">
        <v>35</v>
      </c>
      <c r="F12" s="14">
        <v>15</v>
      </c>
      <c r="G12" t="s" s="13">
        <v>44</v>
      </c>
      <c r="H12" s="14">
        <v>1</v>
      </c>
      <c r="I12" s="14">
        <v>1</v>
      </c>
      <c r="J12" s="14">
        <v>3</v>
      </c>
      <c r="K12" s="14">
        <v>0.65</v>
      </c>
      <c r="L12" s="14">
        <v>1.35</v>
      </c>
      <c r="M12" t="s" s="13">
        <v>45</v>
      </c>
      <c r="N12" s="14">
        <v>0</v>
      </c>
      <c r="O12" s="14">
        <v>6</v>
      </c>
      <c r="P12" s="14">
        <v>5</v>
      </c>
      <c r="Q12" s="14">
        <v>0.7</v>
      </c>
      <c r="R12" s="14">
        <v>2</v>
      </c>
      <c r="S12" s="14">
        <v>0.2</v>
      </c>
      <c r="T12" s="14">
        <v>0.7</v>
      </c>
      <c r="U12" s="14">
        <v>0.7</v>
      </c>
      <c r="V12" s="14">
        <v>0.7</v>
      </c>
      <c r="W12" s="15" cm="1">
        <f t="array" ref="W12">ROUND(((E12/40)+(1/K12)+(1/L12)+(M12/0.08))/4,3)</f>
        <v>0.851</v>
      </c>
      <c r="X12" s="15" cm="1">
        <f t="array" ref="X12">ROUND((6/(Q12+R12+S12+T12+U12+V12)),3)</f>
        <v>1.2</v>
      </c>
      <c r="Y12" s="15" cm="1">
        <f t="array" ref="Y12">ROUND(((F12/10)+(J12/4))/2,3)</f>
        <v>1.125</v>
      </c>
      <c r="Z12" s="15" cm="1">
        <f t="array" ref="Z12">ROUND((Y12+X12+W12)/3,3)</f>
        <v>1.059</v>
      </c>
      <c r="AA12" s="15" cm="1">
        <f t="array" ref="AA12">ROUND((O12+P12)/10,3)</f>
        <v>1.1</v>
      </c>
    </row>
    <row r="13" ht="25.35" customHeight="1">
      <c r="A13" s="11"/>
      <c r="B13" t="s" s="12">
        <v>63</v>
      </c>
      <c r="C13" t="s" s="13">
        <v>64</v>
      </c>
      <c r="D13" t="s" s="13">
        <v>65</v>
      </c>
      <c r="E13" s="14">
        <v>25</v>
      </c>
      <c r="F13" s="14">
        <v>18</v>
      </c>
      <c r="G13" t="s" s="13">
        <v>44</v>
      </c>
      <c r="H13" s="14">
        <v>1</v>
      </c>
      <c r="I13" s="14">
        <v>1</v>
      </c>
      <c r="J13" s="14">
        <v>5</v>
      </c>
      <c r="K13" s="14">
        <v>1.15</v>
      </c>
      <c r="L13" s="14">
        <v>0.9</v>
      </c>
      <c r="M13" t="s" s="13">
        <v>66</v>
      </c>
      <c r="N13" s="14">
        <v>0</v>
      </c>
      <c r="O13" s="14">
        <v>5</v>
      </c>
      <c r="P13" s="14">
        <v>6</v>
      </c>
      <c r="Q13" s="14">
        <v>1</v>
      </c>
      <c r="R13" s="14">
        <v>1</v>
      </c>
      <c r="S13" s="14">
        <v>1</v>
      </c>
      <c r="T13" s="14">
        <v>1</v>
      </c>
      <c r="U13" s="14">
        <v>1.3</v>
      </c>
      <c r="V13" s="14">
        <v>0.7</v>
      </c>
      <c r="W13" s="15" cm="1">
        <f t="array" ref="W13">ROUND(((E13/40)+(1/K13)+(1/L13)+(M13/0.08))/4,3)</f>
        <v>0.776</v>
      </c>
      <c r="X13" s="15" cm="1">
        <f t="array" ref="X13">ROUND((6/(Q13+R13+S13+T13+U13+V13)),3)</f>
        <v>1</v>
      </c>
      <c r="Y13" s="15" cm="1">
        <f t="array" ref="Y13">ROUND(((F13/10)+(J13/4))/2,3)</f>
        <v>1.525</v>
      </c>
      <c r="Z13" s="15" cm="1">
        <f t="array" ref="Z13">ROUND((Y13+X13+W13)/3,3)</f>
        <v>1.1</v>
      </c>
      <c r="AA13" s="15" cm="1">
        <f t="array" ref="AA13">ROUND((O13+P13)/10,3)</f>
        <v>1.1</v>
      </c>
    </row>
    <row r="14" ht="25.35" customHeight="1">
      <c r="A14" s="11"/>
      <c r="B14" t="s" s="12">
        <v>67</v>
      </c>
      <c r="C14" t="s" s="13">
        <v>68</v>
      </c>
      <c r="D14" t="s" s="13">
        <v>69</v>
      </c>
      <c r="E14" s="14">
        <v>35</v>
      </c>
      <c r="F14" s="14">
        <v>10</v>
      </c>
      <c r="G14" t="s" s="13">
        <v>44</v>
      </c>
      <c r="H14" s="14">
        <v>1</v>
      </c>
      <c r="I14" s="14">
        <v>1</v>
      </c>
      <c r="J14" s="14">
        <v>3</v>
      </c>
      <c r="K14" s="14">
        <v>0.7</v>
      </c>
      <c r="L14" s="14">
        <v>1.2</v>
      </c>
      <c r="M14" s="14">
        <v>0.12</v>
      </c>
      <c r="N14" s="14">
        <v>0</v>
      </c>
      <c r="O14" s="14">
        <v>5</v>
      </c>
      <c r="P14" s="14">
        <v>5</v>
      </c>
      <c r="Q14" s="14">
        <v>1</v>
      </c>
      <c r="R14" s="14">
        <v>1</v>
      </c>
      <c r="S14" s="14">
        <v>1</v>
      </c>
      <c r="T14" s="14">
        <v>1</v>
      </c>
      <c r="U14" t="s" s="13">
        <v>70</v>
      </c>
      <c r="V14" t="s" s="13">
        <v>71</v>
      </c>
      <c r="W14" s="15" cm="1">
        <f t="array" ref="W14">ROUND(((E14/40)+(1/K14)+(1/L14)+(M14/0.08))/4,3)</f>
        <v>1.159</v>
      </c>
      <c r="X14" s="15" cm="1">
        <f t="array" ref="X14">ROUND((6/(Q14+R14+S14+T14+U14+V14)),3)</f>
        <v>1.008</v>
      </c>
      <c r="Y14" s="15" cm="1">
        <f t="array" ref="Y14">ROUND(((F14/10)+(J14/4))/2,3)</f>
        <v>0.875</v>
      </c>
      <c r="Z14" s="15" cm="1">
        <f t="array" ref="Z14">ROUND((Y14+X14+W14)/3,3)</f>
        <v>1.014</v>
      </c>
      <c r="AA14" s="15" cm="1">
        <f t="array" ref="AA14">ROUND((O14+P14)/10,3)</f>
        <v>1</v>
      </c>
    </row>
    <row r="15" ht="25.35" customHeight="1">
      <c r="A15" s="11"/>
      <c r="B15" t="s" s="12">
        <v>72</v>
      </c>
      <c r="C15" t="s" s="13">
        <v>73</v>
      </c>
      <c r="D15" t="s" s="13">
        <v>74</v>
      </c>
      <c r="E15" s="14">
        <v>42</v>
      </c>
      <c r="F15" s="14">
        <v>17</v>
      </c>
      <c r="G15" t="s" s="13">
        <v>30</v>
      </c>
      <c r="H15" s="14">
        <v>1</v>
      </c>
      <c r="I15" s="14">
        <v>1</v>
      </c>
      <c r="J15" s="14">
        <v>6</v>
      </c>
      <c r="K15" s="14">
        <v>1</v>
      </c>
      <c r="L15" s="14">
        <v>1</v>
      </c>
      <c r="M15" t="s" s="13">
        <v>75</v>
      </c>
      <c r="N15" s="14">
        <v>0</v>
      </c>
      <c r="O15" s="14">
        <v>6</v>
      </c>
      <c r="P15" s="14">
        <v>6</v>
      </c>
      <c r="Q15" s="14">
        <v>1.1</v>
      </c>
      <c r="R15" s="14">
        <v>1.1</v>
      </c>
      <c r="S15" s="14">
        <v>1.1</v>
      </c>
      <c r="T15" s="14">
        <v>1.1</v>
      </c>
      <c r="U15" s="14">
        <v>1</v>
      </c>
      <c r="V15" s="14">
        <v>1</v>
      </c>
      <c r="W15" s="15" cm="1">
        <f t="array" ref="W15">ROUND(((E15/40)+(1/K15)+(1/L15)+(M15/0.08))/4,3)</f>
        <v>1.075</v>
      </c>
      <c r="X15" s="15" cm="1">
        <f t="array" ref="X15">ROUND((6/(Q15+R15+S15+T15+U15+V15)),3)</f>
        <v>0.9379999999999999</v>
      </c>
      <c r="Y15" s="15" cm="1">
        <f t="array" ref="Y15">ROUND(((F15/10)+(J15/4))/2,3)</f>
        <v>1.6</v>
      </c>
      <c r="Z15" s="15" cm="1">
        <f t="array" ref="Z15">ROUND((Y15+X15+W15)/3,3)</f>
        <v>1.204</v>
      </c>
      <c r="AA15" s="15" cm="1">
        <f t="array" ref="AA15">ROUND((O15+P15)/10,3)</f>
        <v>1.2</v>
      </c>
    </row>
    <row r="16" ht="25.35" customHeight="1">
      <c r="A16" s="11"/>
      <c r="B16" t="s" s="12">
        <v>76</v>
      </c>
      <c r="C16" t="s" s="13">
        <v>77</v>
      </c>
      <c r="D16" t="s" s="13">
        <v>78</v>
      </c>
      <c r="E16" s="14">
        <v>32</v>
      </c>
      <c r="F16" s="14">
        <v>15</v>
      </c>
      <c r="G16" t="s" s="13">
        <v>30</v>
      </c>
      <c r="H16" s="14">
        <v>1</v>
      </c>
      <c r="I16" s="14">
        <v>1</v>
      </c>
      <c r="J16" s="14">
        <v>5</v>
      </c>
      <c r="K16" s="14">
        <v>1</v>
      </c>
      <c r="L16" s="14">
        <v>1.04</v>
      </c>
      <c r="M16" s="14">
        <v>0.06</v>
      </c>
      <c r="N16" s="14">
        <v>0</v>
      </c>
      <c r="O16" s="14">
        <v>5</v>
      </c>
      <c r="P16" s="14">
        <v>6</v>
      </c>
      <c r="Q16" s="14">
        <v>1</v>
      </c>
      <c r="R16" s="14">
        <v>1</v>
      </c>
      <c r="S16" s="14">
        <v>1</v>
      </c>
      <c r="T16" s="14">
        <v>1</v>
      </c>
      <c r="U16" s="14">
        <v>1.1</v>
      </c>
      <c r="V16" s="14">
        <v>1.1</v>
      </c>
      <c r="W16" s="15" cm="1">
        <f t="array" ref="W16">ROUND(((E16/40)+(1/K16)+(1/L16)+(M16/0.08))/4,3)</f>
        <v>0.878</v>
      </c>
      <c r="X16" s="15" cm="1">
        <f t="array" ref="X16">ROUND((6/(Q16+R16+S16+T16+U16+V16)),3)</f>
        <v>0.968</v>
      </c>
      <c r="Y16" s="15" cm="1">
        <f t="array" ref="Y16">ROUND(((F16/10)+(J16/4))/2,3)</f>
        <v>1.375</v>
      </c>
      <c r="Z16" s="15" cm="1">
        <f t="array" ref="Z16">ROUND((Y16+X16+W16)/3,3)</f>
        <v>1.074</v>
      </c>
      <c r="AA16" s="15" cm="1">
        <f t="array" ref="AA16">ROUND((O16+P16)/10,3)</f>
        <v>1.1</v>
      </c>
    </row>
    <row r="17" ht="25.35" customHeight="1">
      <c r="A17" s="11"/>
      <c r="B17" t="s" s="12">
        <v>79</v>
      </c>
      <c r="C17" t="s" s="13">
        <v>80</v>
      </c>
      <c r="D17" t="s" s="13">
        <v>81</v>
      </c>
      <c r="E17" s="14">
        <v>25</v>
      </c>
      <c r="F17" s="14">
        <v>11</v>
      </c>
      <c r="G17" t="s" s="13">
        <v>30</v>
      </c>
      <c r="H17" s="14">
        <v>1</v>
      </c>
      <c r="I17" s="14">
        <v>1</v>
      </c>
      <c r="J17" s="14">
        <v>5</v>
      </c>
      <c r="K17" s="14">
        <v>1.15</v>
      </c>
      <c r="L17" s="14">
        <v>1.1</v>
      </c>
      <c r="M17" s="14">
        <v>0.1</v>
      </c>
      <c r="N17" s="14">
        <v>0</v>
      </c>
      <c r="O17" s="14">
        <v>5</v>
      </c>
      <c r="P17" s="14">
        <v>5</v>
      </c>
      <c r="Q17" s="14">
        <v>1.2</v>
      </c>
      <c r="R17" t="s" s="13">
        <v>82</v>
      </c>
      <c r="S17" s="14">
        <v>0.9</v>
      </c>
      <c r="T17" s="14">
        <v>0.9</v>
      </c>
      <c r="U17" s="14">
        <v>1</v>
      </c>
      <c r="V17" s="14">
        <v>1</v>
      </c>
      <c r="W17" s="15" cm="1">
        <f t="array" ref="W17">ROUND(((E17/40)+(1/K17)+(1/L17)+(M17/0.08))/4,3)</f>
        <v>0.913</v>
      </c>
      <c r="X17" s="15" cm="1">
        <f t="array" ref="X17">ROUND((6/(Q17+R17+S17+T17+U17+V17)),3)</f>
        <v>1.017</v>
      </c>
      <c r="Y17" s="15" cm="1">
        <f t="array" ref="Y17">ROUND(((F17/10)+(J17/4))/2,3)</f>
        <v>1.175</v>
      </c>
      <c r="Z17" s="15" cm="1">
        <f t="array" ref="Z17">ROUND((Y17+X17+W17)/3,3)</f>
        <v>1.035</v>
      </c>
      <c r="AA17" s="15" cm="1">
        <f t="array" ref="AA17">ROUND((O17+P17)/10,3)</f>
        <v>1</v>
      </c>
    </row>
    <row r="18" ht="25.35" customHeight="1">
      <c r="A18" s="11"/>
      <c r="B18" t="s" s="12">
        <v>83</v>
      </c>
      <c r="C18" t="s" s="13">
        <v>84</v>
      </c>
      <c r="D18" t="s" s="13">
        <v>85</v>
      </c>
      <c r="E18" s="14">
        <v>65</v>
      </c>
      <c r="F18" s="14">
        <v>11</v>
      </c>
      <c r="G18" t="s" s="13">
        <v>30</v>
      </c>
      <c r="H18" s="14">
        <v>1</v>
      </c>
      <c r="I18" s="14">
        <v>1</v>
      </c>
      <c r="J18" s="14">
        <v>3</v>
      </c>
      <c r="K18" s="14">
        <v>0.7</v>
      </c>
      <c r="L18" s="14">
        <v>0.9</v>
      </c>
      <c r="M18" s="14">
        <v>0.03</v>
      </c>
      <c r="N18" s="14">
        <v>0</v>
      </c>
      <c r="O18" s="14">
        <v>6</v>
      </c>
      <c r="P18" s="14">
        <v>5</v>
      </c>
      <c r="Q18" s="14">
        <v>0.8</v>
      </c>
      <c r="R18" s="14">
        <v>0.8</v>
      </c>
      <c r="S18" s="14">
        <v>0.8</v>
      </c>
      <c r="T18" s="14">
        <v>0.8</v>
      </c>
      <c r="U18" s="14">
        <v>0.8</v>
      </c>
      <c r="V18" s="14">
        <v>0.8</v>
      </c>
      <c r="W18" s="15" cm="1">
        <f t="array" ref="W18">ROUND(((E18/40)+(1/K18)+(1/L18)+(M18/0.08))/4,3)</f>
        <v>1.135</v>
      </c>
      <c r="X18" s="15" cm="1">
        <f t="array" ref="X18">ROUND((6/(Q18+R18+S18+T18+U18+V18)),3)</f>
        <v>1.25</v>
      </c>
      <c r="Y18" s="15" cm="1">
        <f t="array" ref="Y18">ROUND(((F18/10)+(J18/4))/2,3)</f>
        <v>0.925</v>
      </c>
      <c r="Z18" s="15" cm="1">
        <f t="array" ref="Z18">ROUND((Y18+X18+W18)/3,3)</f>
        <v>1.103</v>
      </c>
      <c r="AA18" s="15" cm="1">
        <f t="array" ref="AA18">ROUND((O18+P18)/10,3)</f>
        <v>1.1</v>
      </c>
    </row>
    <row r="19" ht="25.35" customHeight="1">
      <c r="A19" s="11"/>
      <c r="B19" t="s" s="12">
        <v>86</v>
      </c>
      <c r="C19" t="s" s="13">
        <v>87</v>
      </c>
      <c r="D19" t="s" s="13">
        <v>88</v>
      </c>
      <c r="E19" s="14">
        <v>70</v>
      </c>
      <c r="F19" s="14">
        <v>13</v>
      </c>
      <c r="G19" t="s" s="13">
        <v>30</v>
      </c>
      <c r="H19" s="14">
        <v>1</v>
      </c>
      <c r="I19" s="14">
        <v>1</v>
      </c>
      <c r="J19" s="14">
        <v>5</v>
      </c>
      <c r="K19" s="14">
        <v>0.65</v>
      </c>
      <c r="L19" s="14">
        <v>1.2</v>
      </c>
      <c r="M19" s="14">
        <v>0.02</v>
      </c>
      <c r="N19" s="14">
        <v>0</v>
      </c>
      <c r="O19" s="14">
        <v>7</v>
      </c>
      <c r="P19" s="14">
        <v>5</v>
      </c>
      <c r="Q19" s="14">
        <v>0.7</v>
      </c>
      <c r="R19" s="14">
        <v>1.2</v>
      </c>
      <c r="S19" s="14">
        <v>0.7</v>
      </c>
      <c r="T19" s="14">
        <v>0.7</v>
      </c>
      <c r="U19" s="14">
        <v>0.8</v>
      </c>
      <c r="V19" s="14">
        <v>0.8</v>
      </c>
      <c r="W19" s="15" cm="1">
        <f t="array" ref="W19">ROUND(((E19/40)+(1/K19)+(1/L19)+(M19/0.08))/4,3)</f>
        <v>1.093</v>
      </c>
      <c r="X19" s="15" cm="1">
        <f t="array" ref="X19">ROUND((6/(Q19+R19+S19+T19+U19+V19)),3)</f>
        <v>1.224</v>
      </c>
      <c r="Y19" s="15" cm="1">
        <f t="array" ref="Y19">ROUND(((F19/10)+(J19/4))/2,3)</f>
        <v>1.275</v>
      </c>
      <c r="Z19" s="15" cm="1">
        <f t="array" ref="Z19">ROUND((Y19+X19+W19)/3,3)</f>
        <v>1.197</v>
      </c>
      <c r="AA19" s="15" cm="1">
        <f t="array" ref="AA19">ROUND((O19+P19)/10,3)</f>
        <v>1.2</v>
      </c>
    </row>
    <row r="20" ht="25.35" customHeight="1">
      <c r="A20" s="11"/>
      <c r="B20" t="s" s="12">
        <v>89</v>
      </c>
      <c r="C20" t="s" s="13">
        <v>90</v>
      </c>
      <c r="D20" t="s" s="13">
        <v>91</v>
      </c>
      <c r="E20" s="14">
        <v>35</v>
      </c>
      <c r="F20" s="14">
        <v>17</v>
      </c>
      <c r="G20" t="s" s="13">
        <v>30</v>
      </c>
      <c r="H20" s="14">
        <v>1</v>
      </c>
      <c r="I20" s="14">
        <v>1</v>
      </c>
      <c r="J20" s="14">
        <v>7</v>
      </c>
      <c r="K20" s="14">
        <v>1.05</v>
      </c>
      <c r="L20" s="14">
        <v>1.05</v>
      </c>
      <c r="M20" s="14">
        <v>0.12</v>
      </c>
      <c r="N20" s="14">
        <v>0</v>
      </c>
      <c r="O20" s="14">
        <v>6</v>
      </c>
      <c r="P20" s="14">
        <v>7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0.7</v>
      </c>
      <c r="W20" s="15" cm="1">
        <f t="array" ref="W20">ROUND(((E20/40)+(1/K20)+(1/L20)+(M20/0.08))/4,3)</f>
        <v>1.07</v>
      </c>
      <c r="X20" s="15" cm="1">
        <f t="array" ref="X20">ROUND((6/(Q20+R20+S20+T20+U20+V20)),3)</f>
        <v>1.053</v>
      </c>
      <c r="Y20" s="15" cm="1">
        <f t="array" ref="Y20">ROUND(((F20/10)+(J20/4))/2,3)</f>
        <v>1.725</v>
      </c>
      <c r="Z20" s="15" cm="1">
        <f t="array" ref="Z20">ROUND((Y20+X20+W20)/3,3)</f>
        <v>1.283</v>
      </c>
      <c r="AA20" s="15" cm="1">
        <f t="array" ref="AA20">ROUND((O20+P20)/10,3)</f>
        <v>1.3</v>
      </c>
    </row>
    <row r="21" ht="25.35" customHeight="1">
      <c r="A21" s="11"/>
      <c r="B21" t="s" s="12">
        <v>92</v>
      </c>
      <c r="C21" t="s" s="13">
        <v>93</v>
      </c>
      <c r="D21" t="s" s="13">
        <v>94</v>
      </c>
      <c r="E21" s="14">
        <v>28</v>
      </c>
      <c r="F21" s="14">
        <v>9</v>
      </c>
      <c r="G21" t="s" s="13">
        <v>30</v>
      </c>
      <c r="H21" s="14">
        <v>1</v>
      </c>
      <c r="I21" s="14">
        <v>1</v>
      </c>
      <c r="J21" s="14">
        <v>4</v>
      </c>
      <c r="K21" s="14">
        <v>1.15</v>
      </c>
      <c r="L21" s="14">
        <v>0.95</v>
      </c>
      <c r="M21" s="14">
        <v>0.03</v>
      </c>
      <c r="N21" s="14">
        <v>0</v>
      </c>
      <c r="O21" s="14">
        <v>4</v>
      </c>
      <c r="P21" s="14">
        <v>5</v>
      </c>
      <c r="Q21" s="14">
        <v>1</v>
      </c>
      <c r="R21" s="14">
        <v>1</v>
      </c>
      <c r="S21" s="14">
        <v>1</v>
      </c>
      <c r="T21" s="14">
        <v>1</v>
      </c>
      <c r="U21" s="14">
        <v>1.35</v>
      </c>
      <c r="V21" s="14">
        <v>0.9</v>
      </c>
      <c r="W21" s="15" cm="1">
        <f t="array" ref="W21">ROUND(((E21/40)+(1/K21)+(1/L21)+(M21/0.08))/4,3)</f>
        <v>0.749</v>
      </c>
      <c r="X21" s="15" cm="1">
        <f t="array" ref="X21">ROUND((6/(Q21+R21+S21+T21+U21+V21)),3)</f>
        <v>0.96</v>
      </c>
      <c r="Y21" s="15" cm="1">
        <f t="array" ref="Y21">ROUND(((F21/10)+(J21/4))/2,3)</f>
        <v>0.95</v>
      </c>
      <c r="Z21" s="15" cm="1">
        <f t="array" ref="Z21">ROUND((Y21+X21+W21)/3,3)</f>
        <v>0.886</v>
      </c>
      <c r="AA21" s="15" cm="1">
        <f t="array" ref="AA21">ROUND((O21+P21)/10,3)</f>
        <v>0.9</v>
      </c>
    </row>
    <row r="22" ht="25.35" customHeight="1">
      <c r="A22" s="11"/>
      <c r="B22" t="s" s="12">
        <v>95</v>
      </c>
      <c r="C22" t="s" s="13">
        <v>96</v>
      </c>
      <c r="D22" t="s" s="13">
        <v>97</v>
      </c>
      <c r="E22" s="14">
        <v>40</v>
      </c>
      <c r="F22" s="14">
        <v>13</v>
      </c>
      <c r="G22" t="s" s="13">
        <v>30</v>
      </c>
      <c r="H22" s="14">
        <v>1</v>
      </c>
      <c r="I22" s="14">
        <v>1</v>
      </c>
      <c r="J22" s="14">
        <v>4</v>
      </c>
      <c r="K22" s="14">
        <v>0.95</v>
      </c>
      <c r="L22" s="14">
        <v>1.1</v>
      </c>
      <c r="M22" s="14">
        <v>0.02</v>
      </c>
      <c r="N22" s="14">
        <v>0</v>
      </c>
      <c r="O22" s="14">
        <v>5</v>
      </c>
      <c r="P22" s="14">
        <v>5</v>
      </c>
      <c r="Q22" s="14">
        <v>1.3</v>
      </c>
      <c r="R22" s="14">
        <v>1</v>
      </c>
      <c r="S22" s="14">
        <v>1</v>
      </c>
      <c r="T22" s="14">
        <v>1</v>
      </c>
      <c r="U22" s="14">
        <v>1.35</v>
      </c>
      <c r="V22" s="14">
        <v>0.9</v>
      </c>
      <c r="W22" s="15" cm="1">
        <f t="array" ref="W22">ROUND(((E22/40)+(1/K22)+(1/L22)+(M22/0.08))/4,3)</f>
        <v>0.803</v>
      </c>
      <c r="X22" s="15" cm="1">
        <f t="array" ref="X22">ROUND((6/(Q22+R22+S22+T22+U22+V22)),3)</f>
        <v>0.916</v>
      </c>
      <c r="Y22" s="15" cm="1">
        <f t="array" ref="Y22">ROUND(((F22/10)+(J22/4))/2,3)</f>
        <v>1.15</v>
      </c>
      <c r="Z22" s="15" cm="1">
        <f t="array" ref="Z22">ROUND((Y22+X22+W22)/3,3)</f>
        <v>0.956</v>
      </c>
      <c r="AA22" s="15" cm="1">
        <f t="array" ref="AA22">ROUND((O22+P22)/10,3)</f>
        <v>1</v>
      </c>
    </row>
    <row r="23" ht="25.35" customHeight="1">
      <c r="A23" s="11"/>
      <c r="B23" t="s" s="12">
        <v>98</v>
      </c>
      <c r="C23" t="s" s="13">
        <v>99</v>
      </c>
      <c r="D23" t="s" s="13">
        <v>100</v>
      </c>
      <c r="E23" s="14">
        <v>35</v>
      </c>
      <c r="F23" s="14">
        <v>15</v>
      </c>
      <c r="G23" t="s" s="13">
        <v>44</v>
      </c>
      <c r="H23" s="14">
        <v>1</v>
      </c>
      <c r="I23" s="14">
        <v>1</v>
      </c>
      <c r="J23" s="14">
        <v>3</v>
      </c>
      <c r="K23" s="14">
        <v>0.65</v>
      </c>
      <c r="L23" s="14">
        <v>1.35</v>
      </c>
      <c r="M23" t="s" s="13">
        <v>45</v>
      </c>
      <c r="N23" s="14">
        <v>0</v>
      </c>
      <c r="O23" s="14">
        <v>6</v>
      </c>
      <c r="P23" s="14">
        <v>5</v>
      </c>
      <c r="Q23" s="14">
        <v>0.7</v>
      </c>
      <c r="R23" s="14">
        <v>0.7</v>
      </c>
      <c r="S23" s="14">
        <v>0.7</v>
      </c>
      <c r="T23" s="14">
        <v>0.7</v>
      </c>
      <c r="U23" s="14">
        <v>2</v>
      </c>
      <c r="V23" s="14">
        <v>0.2</v>
      </c>
      <c r="W23" s="15" cm="1">
        <f t="array" ref="W23">ROUND(((E23/40)+(1/K23)+(1/L23)+(M23/0.08))/4,3)</f>
        <v>0.851</v>
      </c>
      <c r="X23" s="15" cm="1">
        <f t="array" ref="X23">ROUND((6/(Q23+R23+S23+T23+U23+V23)),3)</f>
        <v>1.2</v>
      </c>
      <c r="Y23" s="15" cm="1">
        <f t="array" ref="Y23">ROUND(((F23/10)+(J23/4))/2,3)</f>
        <v>1.125</v>
      </c>
      <c r="Z23" s="15" cm="1">
        <f t="array" ref="Z23">ROUND((Y23+X23+W23)/3,3)</f>
        <v>1.059</v>
      </c>
      <c r="AA23" s="15" cm="1">
        <f t="array" ref="AA23">ROUND((O23+P23)/10,3)</f>
        <v>1.1</v>
      </c>
    </row>
    <row r="24" ht="25.35" customHeight="1">
      <c r="A24" s="11"/>
      <c r="B24" t="s" s="12">
        <v>101</v>
      </c>
      <c r="C24" t="s" s="13">
        <v>102</v>
      </c>
      <c r="D24" t="s" s="13">
        <v>103</v>
      </c>
      <c r="E24" s="14">
        <v>35</v>
      </c>
      <c r="F24" s="14">
        <v>15</v>
      </c>
      <c r="G24" t="s" s="13">
        <v>44</v>
      </c>
      <c r="H24" s="14">
        <v>1</v>
      </c>
      <c r="I24" s="14">
        <v>1</v>
      </c>
      <c r="J24" s="14">
        <v>3</v>
      </c>
      <c r="K24" s="14">
        <v>0.65</v>
      </c>
      <c r="L24" s="14">
        <v>1.35</v>
      </c>
      <c r="M24" t="s" s="13">
        <v>45</v>
      </c>
      <c r="N24" s="14">
        <v>0</v>
      </c>
      <c r="O24" s="14">
        <v>6</v>
      </c>
      <c r="P24" s="14">
        <v>5</v>
      </c>
      <c r="Q24" s="14">
        <v>0.2</v>
      </c>
      <c r="R24" s="14">
        <v>0.7</v>
      </c>
      <c r="S24" s="14">
        <v>0.7</v>
      </c>
      <c r="T24" s="14">
        <v>2</v>
      </c>
      <c r="U24" s="14">
        <v>0.7</v>
      </c>
      <c r="V24" s="14">
        <v>0.7</v>
      </c>
      <c r="W24" s="15" cm="1">
        <f t="array" ref="W24">ROUND(((E24/40)+(1/K24)+(1/L24)+(M24/0.08))/4,3)</f>
        <v>0.851</v>
      </c>
      <c r="X24" s="15" cm="1">
        <f t="array" ref="X24">ROUND((6/(Q24+R24+S24+T24+U24+V24)),3)</f>
        <v>1.2</v>
      </c>
      <c r="Y24" s="15" cm="1">
        <f t="array" ref="Y24">ROUND(((F24/10)+(J24/4))/2,3)</f>
        <v>1.125</v>
      </c>
      <c r="Z24" s="15" cm="1">
        <f t="array" ref="Z24">ROUND((Y24+X24+W24)/3,3)</f>
        <v>1.059</v>
      </c>
      <c r="AA24" s="15" cm="1">
        <f t="array" ref="AA24">ROUND((O24+P24)/10,3)</f>
        <v>1.1</v>
      </c>
    </row>
    <row r="25" ht="25.35" customHeight="1">
      <c r="A25" s="11"/>
      <c r="B25" t="s" s="12">
        <v>104</v>
      </c>
      <c r="C25" t="s" s="13">
        <v>105</v>
      </c>
      <c r="D25" t="s" s="13">
        <v>106</v>
      </c>
      <c r="E25" s="14">
        <v>50</v>
      </c>
      <c r="F25" s="14">
        <v>13</v>
      </c>
      <c r="G25" t="s" s="13">
        <v>30</v>
      </c>
      <c r="H25" s="14">
        <v>1</v>
      </c>
      <c r="I25" s="14">
        <v>1</v>
      </c>
      <c r="J25" s="14">
        <v>4</v>
      </c>
      <c r="K25" t="s" s="13">
        <v>107</v>
      </c>
      <c r="L25" t="s" s="13">
        <v>107</v>
      </c>
      <c r="M25" t="s" s="13">
        <v>108</v>
      </c>
      <c r="N25" s="14">
        <v>0</v>
      </c>
      <c r="O25" s="14">
        <v>6</v>
      </c>
      <c r="P25" s="14">
        <v>5</v>
      </c>
      <c r="Q25" t="s" s="13">
        <v>71</v>
      </c>
      <c r="R25" s="14">
        <v>1</v>
      </c>
      <c r="S25" s="14">
        <v>1</v>
      </c>
      <c r="T25" s="14">
        <v>1.2</v>
      </c>
      <c r="U25" s="14">
        <v>1.25</v>
      </c>
      <c r="V25" s="14">
        <v>0.7</v>
      </c>
      <c r="W25" s="15" cm="1">
        <f t="array" ref="W25">ROUND(((E25/40)+(1/K25)+(1/L25)+(M25/0.08))/4,3)</f>
        <v>0.995</v>
      </c>
      <c r="X25" s="15" cm="1">
        <f t="array" ref="X25">ROUND((6/(Q25+R25+S25+T25+U25+V25)),3)</f>
        <v>1.026</v>
      </c>
      <c r="Y25" s="15" cm="1">
        <f t="array" ref="Y25">ROUND(((F25/10)+(J25/4))/2,3)</f>
        <v>1.15</v>
      </c>
      <c r="Z25" s="15" cm="1">
        <f t="array" ref="Z25">ROUND((Y25+X25+W25)/3,3)</f>
        <v>1.057</v>
      </c>
      <c r="AA25" s="15" cm="1">
        <f t="array" ref="AA25">ROUND((O25+P25)/10,3)</f>
        <v>1.1</v>
      </c>
    </row>
    <row r="26" ht="25.35" customHeight="1">
      <c r="A26" s="11"/>
      <c r="B26" t="s" s="12">
        <v>109</v>
      </c>
      <c r="C26" t="s" s="13">
        <v>110</v>
      </c>
      <c r="D26" t="s" s="13">
        <v>85</v>
      </c>
      <c r="E26" s="14">
        <v>85</v>
      </c>
      <c r="F26" s="14">
        <v>10</v>
      </c>
      <c r="G26" t="s" s="13">
        <v>30</v>
      </c>
      <c r="H26" s="14">
        <v>1</v>
      </c>
      <c r="I26" s="14">
        <v>1</v>
      </c>
      <c r="J26" s="14">
        <v>3</v>
      </c>
      <c r="K26" s="14">
        <v>0.5</v>
      </c>
      <c r="L26" s="14">
        <v>0.85</v>
      </c>
      <c r="M26" s="14">
        <v>0.01</v>
      </c>
      <c r="N26" s="14">
        <v>0</v>
      </c>
      <c r="O26" s="14">
        <v>7</v>
      </c>
      <c r="P26" s="14">
        <v>5</v>
      </c>
      <c r="Q26" s="14">
        <v>0.7</v>
      </c>
      <c r="R26" s="14">
        <v>0.7</v>
      </c>
      <c r="S26" s="14">
        <v>0.7</v>
      </c>
      <c r="T26" s="14">
        <v>0.7</v>
      </c>
      <c r="U26" s="14">
        <v>0.7</v>
      </c>
      <c r="V26" s="14">
        <v>0.7</v>
      </c>
      <c r="W26" s="15" cm="1">
        <f t="array" ref="W26">ROUND(((E26/40)+(1/K26)+(1/L26)+(M26/0.08))/4,3)</f>
        <v>1.357</v>
      </c>
      <c r="X26" s="15" cm="1">
        <f t="array" ref="X26">ROUND((6/(Q26+R26+S26+T26+U26+V26)),3)</f>
        <v>1.429</v>
      </c>
      <c r="Y26" s="15" cm="1">
        <f t="array" ref="Y26">ROUND(((F26/10)+(J26/4))/2,3)</f>
        <v>0.875</v>
      </c>
      <c r="Z26" s="15" cm="1">
        <f t="array" ref="Z26">ROUND((Y26+X26+W26)/3,3)</f>
        <v>1.22</v>
      </c>
      <c r="AA26" s="15" cm="1">
        <f t="array" ref="AA26">ROUND((O26+P26)/10,3)</f>
        <v>1.2</v>
      </c>
    </row>
    <row r="27" ht="25.35" customHeight="1">
      <c r="A27" s="11"/>
      <c r="B27" t="s" s="12">
        <v>111</v>
      </c>
      <c r="C27" t="s" s="13">
        <v>112</v>
      </c>
      <c r="D27" t="s" s="13">
        <v>113</v>
      </c>
      <c r="E27" s="14">
        <v>32</v>
      </c>
      <c r="F27" s="14">
        <v>16</v>
      </c>
      <c r="G27" t="s" s="13">
        <v>44</v>
      </c>
      <c r="H27" s="14">
        <v>1</v>
      </c>
      <c r="I27" s="14">
        <v>1</v>
      </c>
      <c r="J27" s="14">
        <v>6</v>
      </c>
      <c r="K27" s="14">
        <v>1.15</v>
      </c>
      <c r="L27" s="14">
        <v>1.2</v>
      </c>
      <c r="M27" s="14">
        <v>0.11</v>
      </c>
      <c r="N27" s="14">
        <v>0</v>
      </c>
      <c r="O27" s="14">
        <v>6</v>
      </c>
      <c r="P27" s="14">
        <v>6</v>
      </c>
      <c r="Q27" s="14">
        <v>0.8</v>
      </c>
      <c r="R27" s="14">
        <v>0.5</v>
      </c>
      <c r="S27" s="14">
        <v>1</v>
      </c>
      <c r="T27" s="14">
        <v>1</v>
      </c>
      <c r="U27" s="14">
        <v>1.3</v>
      </c>
      <c r="V27" s="14">
        <v>0.8</v>
      </c>
      <c r="W27" s="15" cm="1">
        <f t="array" ref="W27">ROUND(((E27/40)+(1/K27)+(1/L27)+(M27/0.08))/4,3)</f>
        <v>0.969</v>
      </c>
      <c r="X27" s="15" cm="1">
        <f t="array" ref="X27">ROUND((6/(Q27+R27+S27+T27+U27+V27)),3)</f>
        <v>1.111</v>
      </c>
      <c r="Y27" s="15" cm="1">
        <f t="array" ref="Y27">ROUND(((F27/10)+(J27/4))/2,3)</f>
        <v>1.55</v>
      </c>
      <c r="Z27" s="15" cm="1">
        <f t="array" ref="Z27">ROUND((Y27+X27+W27)/3,3)</f>
        <v>1.21</v>
      </c>
      <c r="AA27" s="15" cm="1">
        <f t="array" ref="AA27">ROUND((O27+P27)/10,3)</f>
        <v>1.2</v>
      </c>
    </row>
    <row r="28" ht="25.35" customHeight="1">
      <c r="A28" s="11"/>
      <c r="B28" t="s" s="12">
        <v>114</v>
      </c>
      <c r="C28" t="s" s="13">
        <v>115</v>
      </c>
      <c r="D28" t="s" s="13">
        <v>116</v>
      </c>
      <c r="E28" s="14">
        <v>70</v>
      </c>
      <c r="F28" s="14">
        <v>16</v>
      </c>
      <c r="G28" t="s" s="13">
        <v>30</v>
      </c>
      <c r="H28" s="14">
        <v>1</v>
      </c>
      <c r="I28" s="14">
        <v>1</v>
      </c>
      <c r="J28" s="14">
        <v>5</v>
      </c>
      <c r="K28" s="14">
        <v>0.9</v>
      </c>
      <c r="L28" s="14">
        <v>0.9</v>
      </c>
      <c r="M28" s="14">
        <v>0.05</v>
      </c>
      <c r="N28" s="14">
        <v>0</v>
      </c>
      <c r="O28" s="14">
        <v>6</v>
      </c>
      <c r="P28" s="14">
        <v>5</v>
      </c>
      <c r="Q28" s="14">
        <v>0.6</v>
      </c>
      <c r="R28" s="14">
        <v>0.9</v>
      </c>
      <c r="S28" s="14">
        <v>0.9</v>
      </c>
      <c r="T28" s="14">
        <v>1.3</v>
      </c>
      <c r="U28" s="14">
        <v>1.35</v>
      </c>
      <c r="V28" s="14">
        <v>0.6</v>
      </c>
      <c r="W28" s="15" cm="1">
        <f t="array" ref="W28">ROUND(((E28/40)+(1/K28)+(1/L28)+(M28/0.08))/4,3)</f>
        <v>1.149</v>
      </c>
      <c r="X28" s="15" cm="1">
        <f t="array" ref="X28">ROUND((6/(Q28+R28+S28+T28+U28+V28)),3)</f>
        <v>1.062</v>
      </c>
      <c r="Y28" s="15" cm="1">
        <f t="array" ref="Y28">ROUND(((F28/10)+(J28/4))/2,3)</f>
        <v>1.425</v>
      </c>
      <c r="Z28" s="15" cm="1">
        <f t="array" ref="Z28">ROUND((Y28+X28+W28)/3,3)</f>
        <v>1.212</v>
      </c>
      <c r="AA28" s="15" cm="1">
        <f t="array" ref="AA28">ROUND((O28+P28)/10,3)</f>
        <v>1.1</v>
      </c>
    </row>
    <row r="29" ht="25.35" customHeight="1">
      <c r="A29" s="11"/>
      <c r="B29" t="s" s="12">
        <v>117</v>
      </c>
      <c r="C29" t="s" s="13">
        <v>118</v>
      </c>
      <c r="D29" t="s" s="13">
        <v>119</v>
      </c>
      <c r="E29" s="14">
        <v>45</v>
      </c>
      <c r="F29" s="14">
        <v>12</v>
      </c>
      <c r="G29" t="s" s="13">
        <v>30</v>
      </c>
      <c r="H29" s="14">
        <v>1</v>
      </c>
      <c r="I29" s="14">
        <v>1</v>
      </c>
      <c r="J29" s="14">
        <v>4</v>
      </c>
      <c r="K29" s="14">
        <v>1</v>
      </c>
      <c r="L29" s="14">
        <v>1.1</v>
      </c>
      <c r="M29" t="s" s="13">
        <v>31</v>
      </c>
      <c r="N29" s="14">
        <v>0</v>
      </c>
      <c r="O29" s="14">
        <v>5</v>
      </c>
      <c r="P29" s="14">
        <v>5</v>
      </c>
      <c r="Q29" s="14">
        <v>0.7</v>
      </c>
      <c r="R29" s="14">
        <v>1</v>
      </c>
      <c r="S29" s="14">
        <v>1</v>
      </c>
      <c r="T29" s="14">
        <v>1.3</v>
      </c>
      <c r="U29" s="14">
        <v>1.3</v>
      </c>
      <c r="V29" s="14">
        <v>0.9</v>
      </c>
      <c r="W29" s="15" cm="1">
        <f t="array" ref="W29">ROUND(((E29/40)+(1/K29)+(1/L29)+(M29/0.08))/4,3)</f>
        <v>1.009</v>
      </c>
      <c r="X29" s="15" cm="1">
        <f t="array" ref="X29">ROUND((6/(Q29+R29+S29+T29+U29+V29)),3)</f>
        <v>0.968</v>
      </c>
      <c r="Y29" s="15" cm="1">
        <f t="array" ref="Y29">ROUND(((F29/10)+(J29/4))/2,3)</f>
        <v>1.1</v>
      </c>
      <c r="Z29" s="15" cm="1">
        <f t="array" ref="Z29">ROUND((Y29+X29+W29)/3,3)</f>
        <v>1.026</v>
      </c>
      <c r="AA29" s="15" cm="1">
        <f t="array" ref="AA29">ROUND((O29+P29)/10,3)</f>
        <v>1</v>
      </c>
    </row>
    <row r="30" ht="25.35" customHeight="1">
      <c r="A30" s="11"/>
      <c r="B30" t="s" s="12">
        <v>120</v>
      </c>
      <c r="C30" t="s" s="13">
        <v>121</v>
      </c>
      <c r="D30" t="s" s="13">
        <v>122</v>
      </c>
      <c r="E30" s="14">
        <v>32</v>
      </c>
      <c r="F30" s="14">
        <v>16</v>
      </c>
      <c r="G30" t="s" s="13">
        <v>44</v>
      </c>
      <c r="H30" s="14">
        <v>1</v>
      </c>
      <c r="I30" s="14">
        <v>1</v>
      </c>
      <c r="J30" s="14">
        <v>5</v>
      </c>
      <c r="K30" s="14">
        <v>0.9</v>
      </c>
      <c r="L30" s="14">
        <v>0.85</v>
      </c>
      <c r="M30" s="14">
        <v>0.08</v>
      </c>
      <c r="N30" s="14">
        <v>0</v>
      </c>
      <c r="O30" s="14">
        <v>6</v>
      </c>
      <c r="P30" s="14">
        <v>6</v>
      </c>
      <c r="Q30" s="14">
        <v>1</v>
      </c>
      <c r="R30" s="14">
        <v>0.5</v>
      </c>
      <c r="S30" s="14">
        <v>1.2</v>
      </c>
      <c r="T30" s="14">
        <v>1</v>
      </c>
      <c r="U30" s="14">
        <v>0.5</v>
      </c>
      <c r="V30" t="s" s="13">
        <v>71</v>
      </c>
      <c r="W30" s="15" cm="1">
        <f t="array" ref="W30">ROUND(((E30/40)+(1/K30)+(1/L30)+(M30/0.08))/4,3)</f>
        <v>1.022</v>
      </c>
      <c r="X30" s="15" cm="1">
        <f t="array" ref="X30">ROUND((6/(Q30+R30+S30+T30+U30+V30)),3)</f>
        <v>1.224</v>
      </c>
      <c r="Y30" s="15" cm="1">
        <f t="array" ref="Y30">ROUND(((F30/10)+(J30/4))/2,3)</f>
        <v>1.425</v>
      </c>
      <c r="Z30" s="15" cm="1">
        <f t="array" ref="Z30">ROUND((Y30+X30+W30)/3,3)</f>
        <v>1.224</v>
      </c>
      <c r="AA30" s="15" cm="1">
        <f t="array" ref="AA30">ROUND((O30+P30)/10,3)</f>
        <v>1.2</v>
      </c>
    </row>
    <row r="31" ht="25.35" customHeight="1">
      <c r="A31" s="11"/>
      <c r="B31" t="s" s="12">
        <v>123</v>
      </c>
      <c r="C31" t="s" s="13">
        <v>124</v>
      </c>
      <c r="D31" t="s" s="13">
        <v>125</v>
      </c>
      <c r="E31" s="14">
        <v>35</v>
      </c>
      <c r="F31" s="14">
        <v>15</v>
      </c>
      <c r="G31" t="s" s="13">
        <v>44</v>
      </c>
      <c r="H31" s="14">
        <v>1</v>
      </c>
      <c r="I31" s="14">
        <v>1</v>
      </c>
      <c r="J31" s="14">
        <v>3</v>
      </c>
      <c r="K31" s="14">
        <v>0.45</v>
      </c>
      <c r="L31" s="14">
        <v>1.2</v>
      </c>
      <c r="M31" t="s" s="13">
        <v>45</v>
      </c>
      <c r="N31" s="14">
        <v>0</v>
      </c>
      <c r="O31" s="14">
        <v>8</v>
      </c>
      <c r="P31" s="14">
        <v>6</v>
      </c>
      <c r="Q31" s="14">
        <v>0.5</v>
      </c>
      <c r="R31" s="14">
        <v>0.5</v>
      </c>
      <c r="S31" s="14">
        <v>0.5</v>
      </c>
      <c r="T31" s="14">
        <v>0.5</v>
      </c>
      <c r="U31" s="14">
        <v>0.5</v>
      </c>
      <c r="V31" s="14">
        <v>0.5</v>
      </c>
      <c r="W31" s="15" cm="1">
        <f t="array" ref="W31">ROUND(((E31/40)+(1/K31)+(1/L31)+(M31/0.08))/4,3)</f>
        <v>1.045</v>
      </c>
      <c r="X31" s="15" cm="1">
        <f t="array" ref="X31">ROUND((6/(Q31+R31+S31+T31+U31+V31)),3)</f>
        <v>2</v>
      </c>
      <c r="Y31" s="15" cm="1">
        <f t="array" ref="Y31">ROUND(((F31/10)+(J31/4))/2,3)</f>
        <v>1.125</v>
      </c>
      <c r="Z31" s="15" cm="1">
        <f t="array" ref="Z31">ROUND((Y31+X31+W31)/3,3)</f>
        <v>1.39</v>
      </c>
      <c r="AA31" s="15" cm="1">
        <f t="array" ref="AA31">ROUND((O31+P31)/10,3)</f>
        <v>1.4</v>
      </c>
    </row>
  </sheetData>
  <mergeCells count="1">
    <mergeCell ref="A1:AA1"/>
  </mergeCells>
  <conditionalFormatting sqref="Z3:AA31">
    <cfRule type="cellIs" dxfId="0" priority="1" operator="between" stopIfTrue="1">
      <formula>0.95</formula>
      <formula>1.05</formula>
    </cfRule>
    <cfRule type="cellIs" dxfId="1" priority="2" operator="greaterThan" stopIfTrue="1">
      <formula>1.05</formula>
    </cfRule>
    <cfRule type="cellIs" dxfId="2" priority="3" operator="lessThan" stopIfTrue="1">
      <formula>0.95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